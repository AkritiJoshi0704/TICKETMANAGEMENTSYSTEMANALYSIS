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E2DC3400-5609-4607-8422-51EA5173D4B9}" xr6:coauthVersionLast="47" xr6:coauthVersionMax="47" xr10:uidLastSave="{00000000-0000-0000-0000-000000000000}"/>
  <bookViews>
    <workbookView xWindow="-108" yWindow="-108" windowWidth="23256" windowHeight="12456" firstSheet="6" activeTab="7" xr2:uid="{00000000-000D-0000-FFFF-FFFF00000000}"/>
  </bookViews>
  <sheets>
    <sheet name="Users" sheetId="1" r:id="rId1"/>
    <sheet name="Departments" sheetId="2" r:id="rId2"/>
    <sheet name="Projects" sheetId="3" r:id="rId3"/>
    <sheet name="Issues" sheetId="4" r:id="rId4"/>
    <sheet name="Tickets" sheetId="5" r:id="rId5"/>
    <sheet name="Ticket History" sheetId="6" r:id="rId6"/>
    <sheet name="DATAFORDASHBOARD" sheetId="7" r:id="rId7"/>
    <sheet name="DASHBOARD" sheetId="10" r:id="rId8"/>
    <sheet name="Sheet2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1" i="7" l="1"/>
  <c r="B71" i="7"/>
  <c r="D71" i="7" s="1"/>
  <c r="D70" i="7"/>
  <c r="C70" i="7"/>
  <c r="B70" i="7"/>
  <c r="C69" i="7"/>
  <c r="B69" i="7"/>
  <c r="D65" i="7"/>
  <c r="B65" i="7"/>
  <c r="D64" i="7"/>
  <c r="B64" i="7"/>
  <c r="D63" i="7"/>
  <c r="B63" i="7"/>
  <c r="D62" i="7"/>
  <c r="B62" i="7"/>
  <c r="B58" i="7"/>
  <c r="B57" i="7"/>
  <c r="B56" i="7"/>
  <c r="B52" i="7"/>
  <c r="B51" i="7"/>
  <c r="B50" i="7"/>
  <c r="B46" i="7"/>
  <c r="B45" i="7"/>
  <c r="B44" i="7"/>
  <c r="B43" i="7"/>
  <c r="B42" i="7"/>
  <c r="B38" i="7"/>
  <c r="B37" i="7"/>
  <c r="B36" i="7"/>
  <c r="B35" i="7"/>
  <c r="B34" i="7"/>
  <c r="B33" i="7"/>
  <c r="B27" i="7"/>
  <c r="C20" i="7"/>
  <c r="B20" i="7"/>
  <c r="C19" i="7"/>
  <c r="B19" i="7"/>
  <c r="C18" i="7"/>
  <c r="B18" i="7"/>
  <c r="B14" i="7"/>
  <c r="B13" i="7"/>
  <c r="B12" i="7"/>
  <c r="B11" i="7"/>
  <c r="B7" i="7"/>
  <c r="B6" i="7"/>
  <c r="B5" i="7"/>
  <c r="B4" i="7"/>
  <c r="D18" i="7" l="1"/>
  <c r="C14" i="7"/>
  <c r="C51" i="7"/>
  <c r="C37" i="7"/>
  <c r="C64" i="7"/>
  <c r="D20" i="7"/>
  <c r="C11" i="7"/>
  <c r="C13" i="7"/>
  <c r="C27" i="7"/>
  <c r="B29" i="7" s="1"/>
  <c r="C65" i="7"/>
  <c r="C56" i="7"/>
  <c r="C33" i="7"/>
  <c r="C44" i="7"/>
  <c r="C58" i="7"/>
  <c r="D69" i="7"/>
  <c r="D19" i="7"/>
  <c r="D22" i="7" s="1"/>
  <c r="C63" i="7"/>
  <c r="C36" i="7"/>
  <c r="C43" i="7"/>
  <c r="C50" i="7"/>
  <c r="C57" i="7"/>
  <c r="B26" i="7"/>
  <c r="C26" i="7" s="1"/>
  <c r="C34" i="7"/>
  <c r="C38" i="7"/>
  <c r="C45" i="7"/>
  <c r="C52" i="7"/>
  <c r="C62" i="7"/>
  <c r="C12" i="7"/>
  <c r="B28" i="7"/>
  <c r="C28" i="7" s="1"/>
  <c r="C35" i="7"/>
  <c r="C42" i="7"/>
  <c r="C46" i="7"/>
</calcChain>
</file>

<file path=xl/sharedStrings.xml><?xml version="1.0" encoding="utf-8"?>
<sst xmlns="http://schemas.openxmlformats.org/spreadsheetml/2006/main" count="620" uniqueCount="183">
  <si>
    <t>Users Table</t>
  </si>
  <si>
    <t>ID</t>
  </si>
  <si>
    <t>Name</t>
  </si>
  <si>
    <t>Email</t>
  </si>
  <si>
    <t>Role</t>
  </si>
  <si>
    <t>Department</t>
  </si>
  <si>
    <t>Created At</t>
  </si>
  <si>
    <t>John Doe</t>
  </si>
  <si>
    <t>john.doe@company.com</t>
  </si>
  <si>
    <t>Admin</t>
  </si>
  <si>
    <t>IT</t>
  </si>
  <si>
    <t>2025-01-15</t>
  </si>
  <si>
    <t>Jane Smith</t>
  </si>
  <si>
    <t>jane.smith@company.com</t>
  </si>
  <si>
    <t>Manager</t>
  </si>
  <si>
    <t>Quality Assurance</t>
  </si>
  <si>
    <t>2025-01-16</t>
  </si>
  <si>
    <t>Mike Johnson</t>
  </si>
  <si>
    <t>mike.johnson@company.com</t>
  </si>
  <si>
    <t>Developer</t>
  </si>
  <si>
    <t>Frontend Development</t>
  </si>
  <si>
    <t>2025-01-17</t>
  </si>
  <si>
    <t>Sarah Wilson</t>
  </si>
  <si>
    <t>sarah.wilson@company.com</t>
  </si>
  <si>
    <t>Backend Development</t>
  </si>
  <si>
    <t>2025-01-18</t>
  </si>
  <si>
    <t>Tom Brown</t>
  </si>
  <si>
    <t>tom.brown@company.com</t>
  </si>
  <si>
    <t>QA Engineer</t>
  </si>
  <si>
    <t>2025-01-19</t>
  </si>
  <si>
    <t>Emily Davis</t>
  </si>
  <si>
    <t>emily.davis@company.com</t>
  </si>
  <si>
    <t>Product Manager</t>
  </si>
  <si>
    <t>Product Management</t>
  </si>
  <si>
    <t>2025-01-20</t>
  </si>
  <si>
    <t>Chris Lee</t>
  </si>
  <si>
    <t>chris.lee@company.com</t>
  </si>
  <si>
    <t>DevOps</t>
  </si>
  <si>
    <t>2025-01-21</t>
  </si>
  <si>
    <t>Departments Table</t>
  </si>
  <si>
    <t>Description</t>
  </si>
  <si>
    <t>Handles UI/UX development and frontend features</t>
  </si>
  <si>
    <t>2025-01-01</t>
  </si>
  <si>
    <t>Manages server-side logic and database operations</t>
  </si>
  <si>
    <t>Responsible for testing and quality control</t>
  </si>
  <si>
    <t>Oversees product strategy and requirements</t>
  </si>
  <si>
    <t>IT Support</t>
  </si>
  <si>
    <t>Provides technical support and infrastructure</t>
  </si>
  <si>
    <t>Projects Table</t>
  </si>
  <si>
    <t>Status</t>
  </si>
  <si>
    <t>E-commerce Platform</t>
  </si>
  <si>
    <t>Online shopping platform with payment integration</t>
  </si>
  <si>
    <t>Active</t>
  </si>
  <si>
    <t>2025-01-10</t>
  </si>
  <si>
    <t>Mobile App</t>
  </si>
  <si>
    <t>iOS and Android mobile application</t>
  </si>
  <si>
    <t>2025-01-11</t>
  </si>
  <si>
    <t>Admin Dashboard</t>
  </si>
  <si>
    <t>Administrative interface for system management</t>
  </si>
  <si>
    <t>Testing</t>
  </si>
  <si>
    <t>2025-01-12</t>
  </si>
  <si>
    <t>API Gateway</t>
  </si>
  <si>
    <t>RESTful API service for external integrations</t>
  </si>
  <si>
    <t>2025-01-13</t>
  </si>
  <si>
    <t>Customer Portal</t>
  </si>
  <si>
    <t>Self-service portal for customers</t>
  </si>
  <si>
    <t>Development</t>
  </si>
  <si>
    <t>2025-01-14</t>
  </si>
  <si>
    <t>Issues Table</t>
  </si>
  <si>
    <t>Priority</t>
  </si>
  <si>
    <t>Email notification not working</t>
  </si>
  <si>
    <t>Users are not receiving email notifications for ticket updates</t>
  </si>
  <si>
    <t>High</t>
  </si>
  <si>
    <t>Login authentication failure</t>
  </si>
  <si>
    <t>Users unable to login with valid credentials</t>
  </si>
  <si>
    <t>API rate limiting issues</t>
  </si>
  <si>
    <t>API endpoints are hitting rate limits too quickly</t>
  </si>
  <si>
    <t>Medium</t>
  </si>
  <si>
    <t>Database connection timeout</t>
  </si>
  <si>
    <t>Database connections are timing out during peak hours</t>
  </si>
  <si>
    <t>Memory leak in background service</t>
  </si>
  <si>
    <t>Background service is consuming excessive memory</t>
  </si>
  <si>
    <t>UI responsiveness issues</t>
  </si>
  <si>
    <t>User interface is slow to respond to user actions</t>
  </si>
  <si>
    <t>Tickets Table</t>
  </si>
  <si>
    <t>Project</t>
  </si>
  <si>
    <t>Issue</t>
  </si>
  <si>
    <t>Issue Description</t>
  </si>
  <si>
    <t>Raised By</t>
  </si>
  <si>
    <t>Assigned To</t>
  </si>
  <si>
    <t>Updated At</t>
  </si>
  <si>
    <t>Resolved At</t>
  </si>
  <si>
    <t>Users not receiving order confirmation emails</t>
  </si>
  <si>
    <t>In Progress</t>
  </si>
  <si>
    <t>2025-03-15 09:00:00</t>
  </si>
  <si>
    <t>2025-03-15 14:30:00</t>
  </si>
  <si>
    <t/>
  </si>
  <si>
    <t>App crashes during login</t>
  </si>
  <si>
    <t>Resolved</t>
  </si>
  <si>
    <t>2025-03-16 10:15:00</t>
  </si>
  <si>
    <t>2025-03-18 16:45:00</t>
  </si>
  <si>
    <t>Dashboard API calls being throttled</t>
  </si>
  <si>
    <t>2025-03-17 11:30:00</t>
  </si>
  <si>
    <t>2025-03-17 15:20:00</t>
  </si>
  <si>
    <t>API gateway unable to connect to database</t>
  </si>
  <si>
    <t>2025-03-18 08:45:00</t>
  </si>
  <si>
    <t>2025-03-19 12:30:00</t>
  </si>
  <si>
    <t>Portal becoming slow after extended use</t>
  </si>
  <si>
    <t>2025-03-19 13:00:00</t>
  </si>
  <si>
    <t>2025-03-19 17:15:00</t>
  </si>
  <si>
    <t>Product page loading slowly</t>
  </si>
  <si>
    <t>Open</t>
  </si>
  <si>
    <t>2025-03-20 09:30:00</t>
  </si>
  <si>
    <t>Push notifications not working</t>
  </si>
  <si>
    <t>2025-03-21 14:00:00</t>
  </si>
  <si>
    <t>2025-03-22 10:30:00</t>
  </si>
  <si>
    <t>Admin login issues in gateway</t>
  </si>
  <si>
    <t>2025-03-22 15:45:00</t>
  </si>
  <si>
    <t>2025-03-22 16:20:00</t>
  </si>
  <si>
    <t>Ticket History Table</t>
  </si>
  <si>
    <t>Ticket ID</t>
  </si>
  <si>
    <t>Comments</t>
  </si>
  <si>
    <t>Updated By</t>
  </si>
  <si>
    <t>Initial ticket created</t>
  </si>
  <si>
    <t>Assigned to Mike Johnson</t>
  </si>
  <si>
    <t>2025-03-15 10:30:00</t>
  </si>
  <si>
    <t>Investigating email server configuration</t>
  </si>
  <si>
    <t>Login issue reported</t>
  </si>
  <si>
    <t>Assigned to Chris Lee</t>
  </si>
  <si>
    <t>2025-03-16 11:00:00</t>
  </si>
  <si>
    <t>Fixed authentication token issue</t>
  </si>
  <si>
    <t>API throttling issue</t>
  </si>
  <si>
    <t>Analyzing API usage patterns</t>
  </si>
  <si>
    <t>Database connection failure</t>
  </si>
  <si>
    <t>Checking connection pool settings</t>
  </si>
  <si>
    <t>2025-03-18 10:00:00</t>
  </si>
  <si>
    <t>Increased connection timeout</t>
  </si>
  <si>
    <t>Memory usage increasing over time</t>
  </si>
  <si>
    <t>Profiling background service</t>
  </si>
  <si>
    <t>UI performance complaint</t>
  </si>
  <si>
    <t>Push notification failure</t>
  </si>
  <si>
    <t>Fixed push notification service</t>
  </si>
  <si>
    <t>Admin login not working</t>
  </si>
  <si>
    <t>Checking admin credentials</t>
  </si>
  <si>
    <t>TICKET MANAGEMENT SYSTEM DASHBOARD</t>
  </si>
  <si>
    <t>Key Performance Indicators</t>
  </si>
  <si>
    <t>Total Tickets</t>
  </si>
  <si>
    <t>Escalation Rate</t>
  </si>
  <si>
    <t>Avg Resolution Time (Hours)</t>
  </si>
  <si>
    <t>Total Departments</t>
  </si>
  <si>
    <t>Department-wise Ticket Analysis</t>
  </si>
  <si>
    <t>Ticket Count</t>
  </si>
  <si>
    <t>Percentage</t>
  </si>
  <si>
    <t>Resolution Time Analysis</t>
  </si>
  <si>
    <t>Created Date</t>
  </si>
  <si>
    <t>Resolved Date</t>
  </si>
  <si>
    <t>Resolution Hours</t>
  </si>
  <si>
    <t>Average Resolution Time</t>
  </si>
  <si>
    <t>Escalation Rate Analysis</t>
  </si>
  <si>
    <t>Metric</t>
  </si>
  <si>
    <t>Value</t>
  </si>
  <si>
    <t>Escalated Tickets</t>
  </si>
  <si>
    <t>Non-Escalated Tickets</t>
  </si>
  <si>
    <t>Most Common Issues Identification</t>
  </si>
  <si>
    <t>Issue Type</t>
  </si>
  <si>
    <t>Project-wise Ticket Analysis</t>
  </si>
  <si>
    <t>Ticket Status Analysis</t>
  </si>
  <si>
    <t>Count</t>
  </si>
  <si>
    <t>Priority Analysis</t>
  </si>
  <si>
    <t>Low</t>
  </si>
  <si>
    <t>User Performance Analysis</t>
  </si>
  <si>
    <t>Tickets Handled</t>
  </si>
  <si>
    <t>Avg Resolution Time</t>
  </si>
  <si>
    <t>Monthly Trends Analysis</t>
  </si>
  <si>
    <t>Month</t>
  </si>
  <si>
    <t>Tickets Created</t>
  </si>
  <si>
    <t>Tickets Resolved</t>
  </si>
  <si>
    <t>Resolution Rate</t>
  </si>
  <si>
    <t>March</t>
  </si>
  <si>
    <t>April</t>
  </si>
  <si>
    <t>May</t>
  </si>
  <si>
    <t>Column1</t>
  </si>
  <si>
    <t>TICKET MANAGEMENT SYSTEM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</si>
</sst>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0"/>
      <color rgb="FF00BFFF"/>
      <name val="Calibri"/>
      <family val="2"/>
    </font>
    <font>
      <b/>
      <sz val="14"/>
      <color rgb="FFFFFFFF"/>
      <name val="Calibri"/>
      <family val="2"/>
    </font>
    <font>
      <b/>
      <sz val="12"/>
      <color rgb="FF00BFFF"/>
      <name val="Calibri"/>
      <family val="2"/>
    </font>
    <font>
      <b/>
      <sz val="16"/>
      <color rgb="FF00BFFF"/>
      <name val="Calibri"/>
      <family val="2"/>
    </font>
    <font>
      <b/>
      <sz val="11"/>
      <color rgb="FF00BFFF"/>
      <name val="Calibri"/>
      <family val="2"/>
    </font>
    <font>
      <sz val="11"/>
      <color rgb="FF00BFFF"/>
      <name val="Calibri"/>
      <family val="2"/>
    </font>
    <font>
      <b/>
      <sz val="14"/>
      <color rgb="FF00BFFF"/>
      <name val="Calibri"/>
      <family val="2"/>
    </font>
    <font>
      <sz val="11"/>
      <color rgb="FF00BFFF"/>
      <name val="Calibri"/>
      <family val="2"/>
      <scheme val="minor"/>
    </font>
    <font>
      <b/>
      <sz val="20"/>
      <color rgb="FF00B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B0082"/>
        <bgColor indexed="64"/>
      </patternFill>
    </fill>
    <fill>
      <patternFill patternType="solid">
        <fgColor rgb="FF0A0F3C"/>
        <bgColor indexed="64"/>
      </patternFill>
    </fill>
    <fill>
      <patternFill patternType="solid">
        <fgColor rgb="FF7A7A9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8" fillId="2" borderId="0" xfId="0" applyFont="1" applyFill="1" applyAlignment="1">
      <alignment horizontal="center"/>
    </xf>
    <xf numFmtId="0" fontId="0" fillId="2" borderId="0" xfId="0" applyFill="1"/>
    <xf numFmtId="0" fontId="5" fillId="2" borderId="0" xfId="0" applyFont="1" applyFill="1"/>
    <xf numFmtId="2" fontId="5" fillId="2" borderId="0" xfId="0" applyNumberFormat="1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6" fillId="2" borderId="0" xfId="0" applyFont="1" applyFill="1"/>
    <xf numFmtId="0" fontId="7" fillId="2" borderId="0" xfId="0" applyFont="1" applyFill="1"/>
    <xf numFmtId="164" fontId="7" fillId="2" borderId="0" xfId="0" applyNumberFormat="1" applyFont="1" applyFill="1"/>
    <xf numFmtId="2" fontId="7" fillId="2" borderId="0" xfId="0" applyNumberFormat="1" applyFont="1" applyFill="1"/>
    <xf numFmtId="2" fontId="6" fillId="2" borderId="0" xfId="0" applyNumberFormat="1" applyFont="1" applyFill="1"/>
    <xf numFmtId="10" fontId="7" fillId="2" borderId="0" xfId="0" applyNumberFormat="1" applyFont="1" applyFill="1"/>
    <xf numFmtId="0" fontId="0" fillId="3" borderId="0" xfId="0" applyFill="1"/>
    <xf numFmtId="0" fontId="9" fillId="3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</cellXfs>
  <cellStyles count="1">
    <cellStyle name="Normal" xfId="0" builtinId="0"/>
  </cellStyles>
  <dxfs count="4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numFmt numFmtId="164" formatCode="0.0%"/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numFmt numFmtId="2" formatCode="0.00"/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numFmt numFmtId="164" formatCode="0.0%"/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numFmt numFmtId="164" formatCode="0.0%"/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numFmt numFmtId="164" formatCode="0.0%"/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numFmt numFmtId="164" formatCode="0.0%"/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numFmt numFmtId="164" formatCode="0.0%"/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numFmt numFmtId="164" formatCode="0.0%"/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ill>
        <patternFill patternType="solid">
          <fgColor indexed="64"/>
          <bgColor rgb="FF4B0082"/>
        </patternFill>
      </fill>
    </dxf>
    <dxf>
      <fill>
        <patternFill patternType="solid">
          <fgColor indexed="64"/>
          <bgColor rgb="FF4B0082"/>
        </patternFill>
      </fill>
    </dxf>
    <dxf>
      <fill>
        <patternFill patternType="solid">
          <fgColor indexed="64"/>
          <bgColor rgb="FF4B0082"/>
        </patternFill>
      </fill>
    </dxf>
    <dxf>
      <fill>
        <patternFill patternType="solid">
          <fgColor indexed="64"/>
          <bgColor rgb="FF4B008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numFmt numFmtId="164" formatCode="0.0%"/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FFF"/>
        <name val="Calibri"/>
        <family val="2"/>
        <scheme val="none"/>
      </font>
      <fill>
        <patternFill patternType="solid">
          <fgColor indexed="64"/>
          <bgColor rgb="FF4B008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colors>
    <mruColors>
      <color rgb="FF00BFFF"/>
      <color rgb="FF7A7A9E"/>
      <color rgb="FF0A0F3C"/>
      <color rgb="FFF4F6F9"/>
      <color rgb="FFCD39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r>
              <a:rPr lang="en-IN" sz="1200">
                <a:ln>
                  <a:noFill/>
                </a:ln>
                <a:solidFill>
                  <a:srgbClr val="00B0F0"/>
                </a:solidFill>
              </a:rPr>
              <a:t>TICKET</a:t>
            </a:r>
            <a:r>
              <a:rPr lang="en-IN" sz="1200" baseline="0">
                <a:ln>
                  <a:noFill/>
                </a:ln>
                <a:solidFill>
                  <a:srgbClr val="00B0F0"/>
                </a:solidFill>
              </a:rPr>
              <a:t> PER  DEPARTMENT</a:t>
            </a:r>
            <a:endParaRPr lang="en-IN" sz="1200">
              <a:ln>
                <a:noFill/>
              </a:ln>
              <a:solidFill>
                <a:srgbClr val="00B0F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rgbClr val="00B0F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997594050743654E-2"/>
          <c:y val="0.17171296296296298"/>
          <c:w val="0.89655796150481193"/>
          <c:h val="0.543803222513852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DATAFORDASHBOARD!$A$11</c:f>
              <c:strCache>
                <c:ptCount val="1"/>
                <c:pt idx="0">
                  <c:v>Frontend Development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DATAFORDASHBOARD!$B$10</c:f>
              <c:strCache>
                <c:ptCount val="1"/>
                <c:pt idx="0">
                  <c:v>Ticket Count</c:v>
                </c:pt>
              </c:strCache>
            </c:strRef>
          </c:cat>
          <c:val>
            <c:numRef>
              <c:f>DATAFORDASHBOARD!$B$11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B-40E9-B51B-70A2A2361235}"/>
            </c:ext>
          </c:extLst>
        </c:ser>
        <c:ser>
          <c:idx val="1"/>
          <c:order val="1"/>
          <c:tx>
            <c:strRef>
              <c:f>DATAFORDASHBOARD!$A$12</c:f>
              <c:strCache>
                <c:ptCount val="1"/>
                <c:pt idx="0">
                  <c:v>Quality Assurance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6AB-40E9-B51B-70A2A2361235}"/>
              </c:ext>
            </c:extLst>
          </c:dPt>
          <c:cat>
            <c:strRef>
              <c:f>DATAFORDASHBOARD!$B$10</c:f>
              <c:strCache>
                <c:ptCount val="1"/>
                <c:pt idx="0">
                  <c:v>Ticket Count</c:v>
                </c:pt>
              </c:strCache>
            </c:strRef>
          </c:cat>
          <c:val>
            <c:numRef>
              <c:f>DATAFORDASHBOARD!$B$12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AB-40E9-B51B-70A2A2361235}"/>
            </c:ext>
          </c:extLst>
        </c:ser>
        <c:ser>
          <c:idx val="2"/>
          <c:order val="2"/>
          <c:tx>
            <c:strRef>
              <c:f>DATAFORDASHBOARD!$A$13</c:f>
              <c:strCache>
                <c:ptCount val="1"/>
                <c:pt idx="0">
                  <c:v>Backend Development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DATAFORDASHBOARD!$B$10</c:f>
              <c:strCache>
                <c:ptCount val="1"/>
                <c:pt idx="0">
                  <c:v>Ticket Count</c:v>
                </c:pt>
              </c:strCache>
            </c:strRef>
          </c:cat>
          <c:val>
            <c:numRef>
              <c:f>DATAFORDASHBOARD!$B$13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AB-40E9-B51B-70A2A2361235}"/>
            </c:ext>
          </c:extLst>
        </c:ser>
        <c:ser>
          <c:idx val="3"/>
          <c:order val="3"/>
          <c:tx>
            <c:strRef>
              <c:f>DATAFORDASHBOARD!$A$14</c:f>
              <c:strCache>
                <c:ptCount val="1"/>
                <c:pt idx="0">
                  <c:v>Product Management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D39B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6AB-40E9-B51B-70A2A2361235}"/>
              </c:ext>
            </c:extLst>
          </c:dPt>
          <c:cat>
            <c:strRef>
              <c:f>DATAFORDASHBOARD!$B$10</c:f>
              <c:strCache>
                <c:ptCount val="1"/>
                <c:pt idx="0">
                  <c:v>Ticket Count</c:v>
                </c:pt>
              </c:strCache>
            </c:strRef>
          </c:cat>
          <c:val>
            <c:numRef>
              <c:f>DATAFORDASHBOARD!$B$14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AB-40E9-B51B-70A2A2361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28864"/>
        <c:axId val="31327424"/>
      </c:barChart>
      <c:catAx>
        <c:axId val="3132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27424"/>
        <c:crosses val="autoZero"/>
        <c:auto val="1"/>
        <c:lblAlgn val="ctr"/>
        <c:lblOffset val="100"/>
        <c:noMultiLvlLbl val="0"/>
      </c:catAx>
      <c:valAx>
        <c:axId val="3132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2886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8.2941805287584089E-2"/>
          <c:y val="0.85061726006801308"/>
          <c:w val="0.85619144461246999"/>
          <c:h val="0.115738793336533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B0F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B0F0"/>
                </a:solidFill>
              </a:rPr>
              <a:t>Resolution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90967416951669"/>
          <c:y val="0.22272222222222221"/>
          <c:w val="0.77251120125135875"/>
          <c:h val="0.5805555555555556"/>
        </c:manualLayout>
      </c:layout>
      <c:lineChart>
        <c:grouping val="standard"/>
        <c:varyColors val="0"/>
        <c:ser>
          <c:idx val="0"/>
          <c:order val="0"/>
          <c:tx>
            <c:strRef>
              <c:f>DATAFORDASHBOARD!$D$17</c:f>
              <c:strCache>
                <c:ptCount val="1"/>
                <c:pt idx="0">
                  <c:v>Resolution Hours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DATAFORDASHBOARD!$A$18:$C$20</c:f>
              <c:multiLvlStrCache>
                <c:ptCount val="3"/>
                <c:lvl>
                  <c:pt idx="0">
                    <c:v>2025-03-18 16:45:00</c:v>
                  </c:pt>
                  <c:pt idx="1">
                    <c:v>2025-03-19 12:30:00</c:v>
                  </c:pt>
                  <c:pt idx="2">
                    <c:v>2025-03-22 10:30:00</c:v>
                  </c:pt>
                </c:lvl>
                <c:lvl>
                  <c:pt idx="0">
                    <c:v>2025-03-16 10:15:00</c:v>
                  </c:pt>
                  <c:pt idx="1">
                    <c:v>2025-03-18 08:45:00</c:v>
                  </c:pt>
                  <c:pt idx="2">
                    <c:v>2025-03-21 14:00:00</c:v>
                  </c:pt>
                </c:lvl>
                <c:lvl>
                  <c:pt idx="0">
                    <c:v>2</c:v>
                  </c:pt>
                  <c:pt idx="1">
                    <c:v>4</c:v>
                  </c:pt>
                  <c:pt idx="2">
                    <c:v>7</c:v>
                  </c:pt>
                </c:lvl>
              </c:multiLvlStrCache>
            </c:multiLvlStrRef>
          </c:cat>
          <c:val>
            <c:numRef>
              <c:f>DATAFORDASHBOARD!$D$18:$D$20</c:f>
              <c:numCache>
                <c:formatCode>0.00</c:formatCode>
                <c:ptCount val="3"/>
                <c:pt idx="0">
                  <c:v>54.499999999883585</c:v>
                </c:pt>
                <c:pt idx="1">
                  <c:v>27.75</c:v>
                </c:pt>
                <c:pt idx="2">
                  <c:v>20.499999999941792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D2-44CD-AE43-D8657F85D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37024"/>
        <c:axId val="31340864"/>
      </c:lineChart>
      <c:catAx>
        <c:axId val="3133702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rgbClr val="00B0F0"/>
                    </a:solidFill>
                  </a:rPr>
                  <a:t>TICKET</a:t>
                </a:r>
                <a:r>
                  <a:rPr lang="en-IN" baseline="0">
                    <a:solidFill>
                      <a:srgbClr val="00B0F0"/>
                    </a:solidFill>
                  </a:rPr>
                  <a:t> ID </a:t>
                </a:r>
                <a:endParaRPr lang="en-IN">
                  <a:solidFill>
                    <a:srgbClr val="00B0F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31340864"/>
        <c:crosses val="autoZero"/>
        <c:auto val="1"/>
        <c:lblAlgn val="ctr"/>
        <c:lblOffset val="100"/>
        <c:noMultiLvlLbl val="0"/>
      </c:catAx>
      <c:valAx>
        <c:axId val="3134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00B0F0"/>
                    </a:solidFill>
                  </a:rPr>
                  <a:t>RESOLUTION HOUR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00B0F0"/>
                </a:solidFill>
              </a:rPr>
              <a:t>TICKET STATUS DISTRIBUTION</a:t>
            </a:r>
            <a:r>
              <a:rPr lang="en-IN" baseline="0">
                <a:solidFill>
                  <a:srgbClr val="00B0F0"/>
                </a:solidFill>
              </a:rPr>
              <a:t> </a:t>
            </a:r>
            <a:endParaRPr lang="en-IN">
              <a:solidFill>
                <a:srgbClr val="00B0F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DATAFORDASHBOARD!$B$49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0C-4AB0-8EAC-575C6A37B0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0C-4AB0-8EAC-575C6A37B0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0C-4AB0-8EAC-575C6A37B0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50C-4AB0-8EAC-575C6A37B08B}"/>
              </c:ext>
            </c:extLst>
          </c:dPt>
          <c:dLbls>
            <c:spPr>
              <a:solidFill>
                <a:srgbClr val="7030A0"/>
              </a:solidFill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DATAFORDASHBOARD!$A$50:$A$53</c:f>
              <c:strCache>
                <c:ptCount val="3"/>
                <c:pt idx="0">
                  <c:v>Open</c:v>
                </c:pt>
                <c:pt idx="1">
                  <c:v>In Progress</c:v>
                </c:pt>
                <c:pt idx="2">
                  <c:v>Resolved</c:v>
                </c:pt>
              </c:strCache>
            </c:strRef>
          </c:cat>
          <c:val>
            <c:numRef>
              <c:f>DATAFORDASHBOARD!$B$50:$B$53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0C-4AB0-8EAC-575C6A37B08B}"/>
            </c:ext>
          </c:extLst>
        </c:ser>
        <c:ser>
          <c:idx val="1"/>
          <c:order val="1"/>
          <c:tx>
            <c:strRef>
              <c:f>DATAFORDASHBOARD!$C$49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50C-4AB0-8EAC-575C6A37B0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50C-4AB0-8EAC-575C6A37B0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50C-4AB0-8EAC-575C6A37B0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50C-4AB0-8EAC-575C6A37B08B}"/>
              </c:ext>
            </c:extLst>
          </c:dPt>
          <c:cat>
            <c:strRef>
              <c:f>DATAFORDASHBOARD!$A$50:$A$53</c:f>
              <c:strCache>
                <c:ptCount val="3"/>
                <c:pt idx="0">
                  <c:v>Open</c:v>
                </c:pt>
                <c:pt idx="1">
                  <c:v>In Progress</c:v>
                </c:pt>
                <c:pt idx="2">
                  <c:v>Resolved</c:v>
                </c:pt>
              </c:strCache>
            </c:strRef>
          </c:cat>
          <c:val>
            <c:numRef>
              <c:f>DATAFORDASHBOARD!$C$50:$C$53</c:f>
              <c:numCache>
                <c:formatCode>0.0%</c:formatCode>
                <c:ptCount val="4"/>
                <c:pt idx="0">
                  <c:v>0.125</c:v>
                </c:pt>
                <c:pt idx="1">
                  <c:v>0.5</c:v>
                </c:pt>
                <c:pt idx="2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50C-4AB0-8EAC-575C6A37B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7030A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B0F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B0F0"/>
                </a:solidFill>
              </a:rPr>
              <a:t>ESCALATION DISTIBUTION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05-4938-A206-FD9DC30679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05-4938-A206-FD9DC30679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05-4938-A206-FD9DC306797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05-4938-A206-FD9DC3067976}"/>
              </c:ext>
            </c:extLst>
          </c:dPt>
          <c:cat>
            <c:strRef>
              <c:f>DATAFORDASHBOARD!$A$26:$A$29</c:f>
              <c:strCache>
                <c:ptCount val="4"/>
                <c:pt idx="0">
                  <c:v>Total Tickets</c:v>
                </c:pt>
                <c:pt idx="1">
                  <c:v>Escalated Tickets</c:v>
                </c:pt>
                <c:pt idx="2">
                  <c:v>Non-Escalated Tickets</c:v>
                </c:pt>
                <c:pt idx="3">
                  <c:v>Escalation Rate</c:v>
                </c:pt>
              </c:strCache>
            </c:strRef>
          </c:cat>
          <c:val>
            <c:numRef>
              <c:f>DATAFORDASHBOARD!$B$26:$B$29</c:f>
              <c:numCache>
                <c:formatCode>General</c:formatCode>
                <c:ptCount val="4"/>
                <c:pt idx="0">
                  <c:v>8</c:v>
                </c:pt>
                <c:pt idx="1">
                  <c:v>0</c:v>
                </c:pt>
                <c:pt idx="2">
                  <c:v>8</c:v>
                </c:pt>
                <c:pt idx="3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205-4938-A206-FD9DC3067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00B0F0"/>
                </a:solidFill>
              </a:rPr>
              <a:t>MOST</a:t>
            </a:r>
            <a:r>
              <a:rPr lang="en-IN" baseline="0">
                <a:solidFill>
                  <a:srgbClr val="00B0F0"/>
                </a:solidFill>
              </a:rPr>
              <a:t> COMMON ISSUE </a:t>
            </a:r>
            <a:endParaRPr lang="en-IN">
              <a:solidFill>
                <a:srgbClr val="00B0F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DATAFORDASHBOARD!$A$33:$A$38</c:f>
              <c:strCache>
                <c:ptCount val="6"/>
                <c:pt idx="0">
                  <c:v>Email notification not working</c:v>
                </c:pt>
                <c:pt idx="1">
                  <c:v>Login authentication failure</c:v>
                </c:pt>
                <c:pt idx="2">
                  <c:v>API rate limiting issues</c:v>
                </c:pt>
                <c:pt idx="3">
                  <c:v>Database connection timeout</c:v>
                </c:pt>
                <c:pt idx="4">
                  <c:v>Memory leak in background service</c:v>
                </c:pt>
                <c:pt idx="5">
                  <c:v>UI responsiveness issues</c:v>
                </c:pt>
              </c:strCache>
            </c:strRef>
          </c:cat>
          <c:val>
            <c:numRef>
              <c:f>DATAFORDASHBOARD!$B$33:$B$38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F-44E3-85C3-95F0E8B540A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DATAFORDASHBOARD!$A$33:$A$38</c:f>
              <c:strCache>
                <c:ptCount val="6"/>
                <c:pt idx="0">
                  <c:v>Email notification not working</c:v>
                </c:pt>
                <c:pt idx="1">
                  <c:v>Login authentication failure</c:v>
                </c:pt>
                <c:pt idx="2">
                  <c:v>API rate limiting issues</c:v>
                </c:pt>
                <c:pt idx="3">
                  <c:v>Database connection timeout</c:v>
                </c:pt>
                <c:pt idx="4">
                  <c:v>Memory leak in background service</c:v>
                </c:pt>
                <c:pt idx="5">
                  <c:v>UI responsiveness issues</c:v>
                </c:pt>
              </c:strCache>
            </c:strRef>
          </c:cat>
          <c:val>
            <c:numRef>
              <c:f>DATAFORDASHBOARD!$C$33:$C$38</c:f>
              <c:numCache>
                <c:formatCode>0.0%</c:formatCode>
                <c:ptCount val="6"/>
                <c:pt idx="0">
                  <c:v>0.25</c:v>
                </c:pt>
                <c:pt idx="1">
                  <c:v>0.25</c:v>
                </c:pt>
                <c:pt idx="2">
                  <c:v>0.125</c:v>
                </c:pt>
                <c:pt idx="3">
                  <c:v>0.125</c:v>
                </c:pt>
                <c:pt idx="4">
                  <c:v>0.125</c:v>
                </c:pt>
                <c:pt idx="5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CF-44E3-85C3-95F0E8B54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707920"/>
        <c:axId val="155707440"/>
      </c:barChart>
      <c:catAx>
        <c:axId val="155707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07440"/>
        <c:crosses val="autoZero"/>
        <c:auto val="1"/>
        <c:lblAlgn val="ctr"/>
        <c:lblOffset val="100"/>
        <c:noMultiLvlLbl val="0"/>
      </c:catAx>
      <c:valAx>
        <c:axId val="15570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0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B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B0F0"/>
                </a:solidFill>
              </a:rPr>
              <a:t>TICKETS</a:t>
            </a:r>
            <a:r>
              <a:rPr lang="en-US" baseline="0">
                <a:solidFill>
                  <a:srgbClr val="00B0F0"/>
                </a:solidFill>
              </a:rPr>
              <a:t> PER PROJECT </a:t>
            </a:r>
            <a:endParaRPr lang="en-US">
              <a:solidFill>
                <a:srgbClr val="00B0F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DATAFORDASHBOARD!$B$41</c:f>
              <c:strCache>
                <c:ptCount val="1"/>
                <c:pt idx="0">
                  <c:v>Ticket Count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DATAFORDASHBOARD!$A$42:$A$46</c:f>
              <c:strCache>
                <c:ptCount val="5"/>
                <c:pt idx="0">
                  <c:v>E-commerce Platform</c:v>
                </c:pt>
                <c:pt idx="1">
                  <c:v>Mobile App</c:v>
                </c:pt>
                <c:pt idx="2">
                  <c:v>Admin Dashboard</c:v>
                </c:pt>
                <c:pt idx="3">
                  <c:v>API Gateway</c:v>
                </c:pt>
                <c:pt idx="4">
                  <c:v>Customer Portal</c:v>
                </c:pt>
              </c:strCache>
            </c:strRef>
          </c:cat>
          <c:val>
            <c:numRef>
              <c:f>DATAFORDASHBOARD!$B$42:$B$46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3-4218-BBD8-8F302AD6D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57664"/>
        <c:axId val="31558144"/>
      </c:barChart>
      <c:catAx>
        <c:axId val="3155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58144"/>
        <c:crosses val="autoZero"/>
        <c:auto val="1"/>
        <c:lblAlgn val="ctr"/>
        <c:lblOffset val="100"/>
        <c:noMultiLvlLbl val="0"/>
      </c:catAx>
      <c:valAx>
        <c:axId val="3155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5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00B0F0"/>
                </a:solidFill>
              </a:rPr>
              <a:t>PRIORITY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DATAFORDASHBOARD!$A$56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DATAFORDASHBOARD!$B$55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DATAFORDASHBOARD!$B$56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3-44E1-8C0B-8C79CCB74626}"/>
            </c:ext>
          </c:extLst>
        </c:ser>
        <c:ser>
          <c:idx val="1"/>
          <c:order val="1"/>
          <c:tx>
            <c:strRef>
              <c:f>DATAFORDASHBOARD!$A$57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DATAFORDASHBOARD!$B$55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DATAFORDASHBOARD!$B$57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93-44E1-8C0B-8C79CCB74626}"/>
            </c:ext>
          </c:extLst>
        </c:ser>
        <c:ser>
          <c:idx val="2"/>
          <c:order val="2"/>
          <c:tx>
            <c:strRef>
              <c:f>DATAFORDASHBOARD!$A$58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DATAFORDASHBOARD!$B$55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DATAFORDASHBOARD!$B$58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93-44E1-8C0B-8C79CCB74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273952"/>
        <c:axId val="72272512"/>
      </c:barChart>
      <c:catAx>
        <c:axId val="7227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72512"/>
        <c:crosses val="autoZero"/>
        <c:auto val="1"/>
        <c:lblAlgn val="ctr"/>
        <c:lblOffset val="100"/>
        <c:noMultiLvlLbl val="0"/>
      </c:catAx>
      <c:valAx>
        <c:axId val="722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7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B0F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B0F0"/>
                </a:solidFill>
              </a:rPr>
              <a:t>USER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DATAFORDASHBOARD!$B$61</c:f>
              <c:strCache>
                <c:ptCount val="1"/>
                <c:pt idx="0">
                  <c:v>Tickets Handled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DATAFORDASHBOARD!$A$62:$A$65</c:f>
              <c:strCache>
                <c:ptCount val="4"/>
                <c:pt idx="0">
                  <c:v>Mike Johnson</c:v>
                </c:pt>
                <c:pt idx="1">
                  <c:v>Chris Lee</c:v>
                </c:pt>
                <c:pt idx="2">
                  <c:v>Tom Brown</c:v>
                </c:pt>
                <c:pt idx="3">
                  <c:v>Sarah Wilson</c:v>
                </c:pt>
              </c:strCache>
            </c:strRef>
          </c:cat>
          <c:val>
            <c:numRef>
              <c:f>DATAFORDASHBOARD!$B$62:$B$65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3-4E33-BE56-0536447DD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33664"/>
        <c:axId val="31324064"/>
      </c:barChart>
      <c:catAx>
        <c:axId val="3133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24064"/>
        <c:crosses val="autoZero"/>
        <c:auto val="1"/>
        <c:lblAlgn val="ctr"/>
        <c:lblOffset val="100"/>
        <c:noMultiLvlLbl val="0"/>
      </c:catAx>
      <c:valAx>
        <c:axId val="3132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3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00B0F0"/>
                </a:solidFill>
              </a:rPr>
              <a:t>MONTHLY</a:t>
            </a:r>
            <a:r>
              <a:rPr lang="en-IN" baseline="0">
                <a:solidFill>
                  <a:srgbClr val="00B0F0"/>
                </a:solidFill>
              </a:rPr>
              <a:t> TICKET ANALYSIS </a:t>
            </a:r>
            <a:endParaRPr lang="en-IN">
              <a:solidFill>
                <a:srgbClr val="00B0F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B0F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DATAFORDASHBOARD!$B$68</c:f>
              <c:strCache>
                <c:ptCount val="1"/>
                <c:pt idx="0">
                  <c:v>Tickets Created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DATAFORDASHBOARD!$A$69:$A$71</c:f>
              <c:strCache>
                <c:ptCount val="3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</c:strCache>
            </c:strRef>
          </c:cat>
          <c:val>
            <c:numRef>
              <c:f>DATAFORDASHBOARD!$B$69:$B$71</c:f>
              <c:numCache>
                <c:formatCode>General</c:formatCode>
                <c:ptCount val="3"/>
                <c:pt idx="0">
                  <c:v>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63-4EE7-B859-3FBB8AEB1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898656"/>
        <c:axId val="231896256"/>
      </c:lineChart>
      <c:catAx>
        <c:axId val="23189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896256"/>
        <c:crosses val="autoZero"/>
        <c:auto val="1"/>
        <c:lblAlgn val="ctr"/>
        <c:lblOffset val="100"/>
        <c:noMultiLvlLbl val="0"/>
      </c:catAx>
      <c:valAx>
        <c:axId val="23189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89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154022</xdr:rowOff>
    </xdr:from>
    <xdr:to>
      <xdr:col>10</xdr:col>
      <xdr:colOff>472440</xdr:colOff>
      <xdr:row>16</xdr:row>
      <xdr:rowOff>37913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BEEF48-30C7-4F1D-AF8E-D398AB646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</xdr:row>
      <xdr:rowOff>0</xdr:rowOff>
    </xdr:from>
    <xdr:to>
      <xdr:col>17</xdr:col>
      <xdr:colOff>114300</xdr:colOff>
      <xdr:row>16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9AEDE4-ABB1-434A-A832-18B411F00B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243192</xdr:colOff>
      <xdr:row>3</xdr:row>
      <xdr:rowOff>170235</xdr:rowOff>
    </xdr:from>
    <xdr:to>
      <xdr:col>23</xdr:col>
      <xdr:colOff>574497</xdr:colOff>
      <xdr:row>16</xdr:row>
      <xdr:rowOff>16919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04FB92-3096-4C3B-AD3B-486E3F48D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17</xdr:row>
      <xdr:rowOff>1</xdr:rowOff>
    </xdr:from>
    <xdr:to>
      <xdr:col>10</xdr:col>
      <xdr:colOff>444500</xdr:colOff>
      <xdr:row>28</xdr:row>
      <xdr:rowOff>127001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831FE3-BC8F-4CC1-A57E-74F074AB6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17</xdr:row>
      <xdr:rowOff>0</xdr:rowOff>
    </xdr:from>
    <xdr:to>
      <xdr:col>16</xdr:col>
      <xdr:colOff>404813</xdr:colOff>
      <xdr:row>29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24A3858-73E8-495F-8D7A-CFE5F4F75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18</xdr:row>
      <xdr:rowOff>0</xdr:rowOff>
    </xdr:from>
    <xdr:to>
      <xdr:col>23</xdr:col>
      <xdr:colOff>595313</xdr:colOff>
      <xdr:row>29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8237D0E-A6FD-4DA4-9D4B-54236205D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0</xdr:colOff>
      <xdr:row>30</xdr:row>
      <xdr:rowOff>0</xdr:rowOff>
    </xdr:from>
    <xdr:to>
      <xdr:col>11</xdr:col>
      <xdr:colOff>0</xdr:colOff>
      <xdr:row>43</xdr:row>
      <xdr:rowOff>121272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2C39245-D918-421E-AED7-CB71D71933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31</xdr:row>
      <xdr:rowOff>0</xdr:rowOff>
    </xdr:from>
    <xdr:to>
      <xdr:col>24</xdr:col>
      <xdr:colOff>0</xdr:colOff>
      <xdr:row>44</xdr:row>
      <xdr:rowOff>71438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2760484-7561-408A-B6F2-94C418880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0</xdr:colOff>
      <xdr:row>31</xdr:row>
      <xdr:rowOff>0</xdr:rowOff>
    </xdr:from>
    <xdr:to>
      <xdr:col>17</xdr:col>
      <xdr:colOff>523875</xdr:colOff>
      <xdr:row>43</xdr:row>
      <xdr:rowOff>95250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E48F2A1-8200-4C73-AC6C-F3B76FE67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3217F8-F0D8-4200-905F-D37B623C4ACD}" name="Table6" displayName="Table6" ref="A3:G11" totalsRowShown="0" headerRowDxfId="40">
  <autoFilter ref="A3:G11" xr:uid="{193217F8-F0D8-4200-905F-D37B623C4ACD}"/>
  <tableColumns count="7">
    <tableColumn id="1" xr3:uid="{FF31737D-D934-4AA3-8E5C-A7BABFB3518E}" name="ID"/>
    <tableColumn id="2" xr3:uid="{C4E783FD-1113-403B-AF32-1A565C538E87}" name="Name"/>
    <tableColumn id="3" xr3:uid="{46E4E9AC-871B-42B6-A6A9-4419E970163D}" name="Email"/>
    <tableColumn id="4" xr3:uid="{71CA030E-B1D5-438C-9578-E2BF990AFC0D}" name="Role"/>
    <tableColumn id="5" xr3:uid="{911FDD72-A10B-4D1A-AD9C-28CFA6CE3815}" name="Department"/>
    <tableColumn id="6" xr3:uid="{29F949CF-74BB-4940-B53F-CF7C79B0B816}" name="Created At"/>
    <tableColumn id="7" xr3:uid="{CA8E35BF-03D7-40BF-9972-4BECA6A04A57}" name="Column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2312D8-5839-40D4-AC61-E8D3B8EED56C}" name="Table5" displayName="Table5" ref="A3:D9" totalsRowShown="0" headerRowDxfId="41">
  <autoFilter ref="A3:D9" xr:uid="{BC2312D8-5839-40D4-AC61-E8D3B8EED56C}"/>
  <tableColumns count="4">
    <tableColumn id="1" xr3:uid="{147E1093-C838-45EC-A975-54C57EC7487A}" name="ID"/>
    <tableColumn id="2" xr3:uid="{E6227E19-3AF7-419A-BC4B-C36C20D9047B}" name="Name"/>
    <tableColumn id="3" xr3:uid="{FC6D8E35-80AB-4BE6-8976-A5A0178FE48E}" name="Description"/>
    <tableColumn id="4" xr3:uid="{1311653C-E15B-45FF-B9C6-95E1ED1E9294}" name="Created At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6D0082-C8F3-499A-856E-A86FC0FC9805}" name="Table4" displayName="Table4" ref="A3:F9" totalsRowShown="0" headerRowDxfId="42">
  <autoFilter ref="A3:F9" xr:uid="{DF6D0082-C8F3-499A-856E-A86FC0FC9805}"/>
  <tableColumns count="6">
    <tableColumn id="1" xr3:uid="{5B6151CA-C767-43B7-8008-6D3C366B65E2}" name="ID"/>
    <tableColumn id="2" xr3:uid="{84487B9F-A9EC-4A58-BB87-FFCBA417CBBB}" name="Name"/>
    <tableColumn id="3" xr3:uid="{751468E5-9C6C-4B4F-A489-5468166EDBDE}" name="Description"/>
    <tableColumn id="4" xr3:uid="{E3E339D2-73D6-4ECF-8585-85E6740B7CB6}" name="Department"/>
    <tableColumn id="5" xr3:uid="{28041E06-8287-449E-AFC5-283C59BF0C1E}" name="Status"/>
    <tableColumn id="6" xr3:uid="{DBCF17DD-012F-4739-8307-D93B032E6189}" name="Created At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BA1DD4-2FF9-490A-A44C-6861635DA524}" name="Table3" displayName="Table3" ref="A3:E10" totalsRowShown="0" headerRowDxfId="43">
  <autoFilter ref="A3:E10" xr:uid="{CBBA1DD4-2FF9-490A-A44C-6861635DA524}"/>
  <tableColumns count="5">
    <tableColumn id="1" xr3:uid="{B529F8F5-C84F-4FD7-91F0-FC103BE58AE9}" name="ID"/>
    <tableColumn id="2" xr3:uid="{CF7B2AD2-4EF7-45BA-AE84-E4F2CA1F779D}" name="Name"/>
    <tableColumn id="3" xr3:uid="{A3DA07EC-01B7-400C-9E69-D12BB5328B34}" name="Description"/>
    <tableColumn id="4" xr3:uid="{7475300B-14E3-4D8D-BA2F-97B36CC2E23A}" name="Priority"/>
    <tableColumn id="5" xr3:uid="{654C4006-AA41-4F3A-A171-D9E3E60E66C5}" name="Created At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773CA3-048D-45FC-BF9B-93D870781D25}" name="Table2" displayName="Table2" ref="A3:M11" totalsRowShown="0" headerRowDxfId="44">
  <autoFilter ref="A3:M11" xr:uid="{25773CA3-048D-45FC-BF9B-93D870781D25}"/>
  <tableColumns count="13">
    <tableColumn id="1" xr3:uid="{BF2CEDB4-7592-4295-AECF-1A7DD818C66F}" name="ID"/>
    <tableColumn id="2" xr3:uid="{C8509BE2-90EF-4CFF-9BFA-E82325F82D60}" name="Project"/>
    <tableColumn id="3" xr3:uid="{8A93460D-E47A-4461-84C9-608703059B47}" name="Department"/>
    <tableColumn id="4" xr3:uid="{61E8F1BB-6699-46C8-9C04-F82D93C58122}" name="Issue"/>
    <tableColumn id="5" xr3:uid="{E5AEC0E6-03FE-41BF-9265-4C4E4D61823A}" name="Issue Description"/>
    <tableColumn id="6" xr3:uid="{048D9406-AD0C-455D-BC74-82A040950D87}" name="Raised By"/>
    <tableColumn id="7" xr3:uid="{86A5F91A-B497-40B4-84E3-44E55FFFD0C3}" name="Assigned To"/>
    <tableColumn id="8" xr3:uid="{A4D9961F-784F-4E0D-974B-A75DE0A9742D}" name="Status"/>
    <tableColumn id="9" xr3:uid="{E8F4F2FD-4E47-4606-A21F-D91F89A1EAE1}" name="Priority"/>
    <tableColumn id="10" xr3:uid="{6D544707-A08F-4A87-BF43-DEC3BB7E558F}" name="Created At"/>
    <tableColumn id="11" xr3:uid="{45A39774-D7D1-42E6-9C62-2B9769888D03}" name="Updated At"/>
    <tableColumn id="12" xr3:uid="{1CBBE864-91BA-45F0-B821-BF544092DDFD}" name="Resolved At"/>
    <tableColumn id="13" xr3:uid="{4BDA23CE-12B6-444C-AF0A-C8CE3B3C7C0D}" name="Column1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90910A-F663-4F9E-90B6-F2E51A509A84}" name="Table1" displayName="Table1" ref="A3:F22" totalsRowShown="0" headerRowDxfId="45">
  <autoFilter ref="A3:F22" xr:uid="{BB90910A-F663-4F9E-90B6-F2E51A509A84}"/>
  <tableColumns count="6">
    <tableColumn id="1" xr3:uid="{F7F51DD2-1CE7-4423-BE64-381204D7755C}" name="ID"/>
    <tableColumn id="2" xr3:uid="{D2971B87-4AB0-417D-927F-89CC51810D3E}" name="Ticket ID"/>
    <tableColumn id="3" xr3:uid="{7A6B4FFE-9E83-496B-80BC-2B7AD1EF5C00}" name="Status"/>
    <tableColumn id="4" xr3:uid="{583094C4-1C8C-470C-874B-1FB29BDFBA8C}" name="Comments"/>
    <tableColumn id="5" xr3:uid="{05B7E7F2-FE73-48C7-8A53-8585D43BA5F8}" name="Updated By"/>
    <tableColumn id="6" xr3:uid="{35C24D71-F711-412C-AB40-06CE41352982}" name="Created At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29584DA-1DAE-4E81-9B87-72969D8952A3}" name="Table10" displayName="Table10" ref="A10:C14" totalsRowShown="0" headerRowDxfId="36">
  <autoFilter ref="A10:C14" xr:uid="{B29584DA-1DAE-4E81-9B87-72969D8952A3}"/>
  <tableColumns count="3">
    <tableColumn id="1" xr3:uid="{D2D107B5-C2BA-4A24-BD66-83E4A26309CA}" name="Department" dataDxfId="39"/>
    <tableColumn id="2" xr3:uid="{473FCB95-9F3C-4580-B506-2FF162FA586F}" name="Ticket Count" dataDxfId="38"/>
    <tableColumn id="3" xr3:uid="{EB0F59DC-E02D-4F08-A0B1-2FCFF88D0447}" name="Percentage" dataDxfId="37">
      <calculatedColumnFormula>B11/$B$4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D088DBD-DBC0-44B4-A9F5-C2DB1DAB73C3}" name="Table11" displayName="Table11" ref="A17:E23" totalsRowShown="0" headerRowDxfId="31" dataDxfId="32">
  <autoFilter ref="A17:E23" xr:uid="{9D088DBD-DBC0-44B4-A9F5-C2DB1DAB73C3}"/>
  <tableColumns count="5">
    <tableColumn id="1" xr3:uid="{3F7D36D0-FC21-42AE-BE1B-6F8DE451FC14}" name="Ticket ID"/>
    <tableColumn id="2" xr3:uid="{51F534DC-0752-4D82-9CAC-01BE26E66168}" name="Created Date" dataDxfId="35"/>
    <tableColumn id="3" xr3:uid="{C6A735CB-D4FB-4ED0-A33D-4DD710FD2D15}" name="Resolved Date" dataDxfId="34"/>
    <tableColumn id="4" xr3:uid="{36B231D0-40C1-4BD4-8B85-EC408077C6B8}" name="Resolution Hours"/>
    <tableColumn id="5" xr3:uid="{5CFE124F-E9D6-4288-AB11-0CD9E9B54576}" name="Column1" dataDxfId="3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C0535E2-13FE-4F00-A2E3-3AEF8CC820A2}" name="Table12" displayName="Table12" ref="A25:C30" totalsRowShown="0" headerRowDxfId="27">
  <autoFilter ref="A25:C30" xr:uid="{1C0535E2-13FE-4F00-A2E3-3AEF8CC820A2}"/>
  <tableColumns count="3">
    <tableColumn id="1" xr3:uid="{E42704B8-2ADC-47D3-88F8-0E67B9BBD418}" name="Metric" dataDxfId="30"/>
    <tableColumn id="2" xr3:uid="{AD1EE721-CBC1-450A-9F5F-8BDFE6AFB724}" name="Value" dataDxfId="29"/>
    <tableColumn id="3" xr3:uid="{CF9FC6AE-96D2-4AA2-B6BD-93B314906A81}" name="Percentage" dataDxfId="2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A44B449-4FA0-4637-82B5-14B2785FA145}" name="Table13" displayName="Table13" ref="A32:C39" totalsRowShown="0" headerRowDxfId="23">
  <autoFilter ref="A32:C39" xr:uid="{3A44B449-4FA0-4637-82B5-14B2785FA145}"/>
  <tableColumns count="3">
    <tableColumn id="1" xr3:uid="{32ACDB31-CBFC-4785-8C5E-88D81F98601D}" name="Issue Type" dataDxfId="26"/>
    <tableColumn id="2" xr3:uid="{9E08E427-DD3A-4DFE-B21F-156E7E39BE24}" name="Ticket Count" dataDxfId="25"/>
    <tableColumn id="3" xr3:uid="{856C9DB7-585C-42D2-B4FB-7FFFFA485C85}" name="Percentage" dataDxfId="2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10933F7-7B37-4E8D-A4C5-9382ABD71A2A}" name="Table14" displayName="Table14" ref="A41:C46" totalsRowShown="0" headerRowDxfId="19">
  <autoFilter ref="A41:C46" xr:uid="{A10933F7-7B37-4E8D-A4C5-9382ABD71A2A}"/>
  <tableColumns count="3">
    <tableColumn id="1" xr3:uid="{41C52FC1-75E7-425C-9D2A-134B7AA6D567}" name="Project" dataDxfId="22"/>
    <tableColumn id="2" xr3:uid="{CFF1F7D2-8208-49DF-B18F-3ED7F86C74E6}" name="Ticket Count" dataDxfId="21"/>
    <tableColumn id="3" xr3:uid="{66C244B5-608F-4EB6-9022-F71D2FFF899F}" name="Percentage" dataDxfId="20">
      <calculatedColumnFormula>B42/$B$4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7B4EE61-857A-4FCF-B402-8217A924168F}" name="Table15" displayName="Table15" ref="A49:C52" totalsRowShown="0" headerRowDxfId="15">
  <autoFilter ref="A49:C52" xr:uid="{87B4EE61-857A-4FCF-B402-8217A924168F}"/>
  <tableColumns count="3">
    <tableColumn id="1" xr3:uid="{BDE01CEF-0E18-4CB2-AAA0-13E9B7359900}" name="Status" dataDxfId="18"/>
    <tableColumn id="2" xr3:uid="{F6713514-12B6-4519-A8FD-01340729E204}" name="Count" dataDxfId="17"/>
    <tableColumn id="3" xr3:uid="{857D4263-7437-469C-A859-61CE62E7ABD0}" name="Percentage" dataDxfId="16">
      <calculatedColumnFormula>B50/$B$4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F2E73A7-97F4-415B-B375-2FE2F044EBF4}" name="Table16" displayName="Table16" ref="A55:C58" totalsRowShown="0" headerRowDxfId="11">
  <autoFilter ref="A55:C58" xr:uid="{EF2E73A7-97F4-415B-B375-2FE2F044EBF4}"/>
  <tableColumns count="3">
    <tableColumn id="1" xr3:uid="{20F053C0-7248-4751-BEE9-A130CC8A7351}" name="Priority" dataDxfId="14"/>
    <tableColumn id="2" xr3:uid="{1688D0B2-AC12-41AB-8972-7E80BFB587B6}" name="Count" dataDxfId="13"/>
    <tableColumn id="3" xr3:uid="{4A456838-F405-4523-8FEE-7BEDBA0A0156}" name="Percentage" dataDxfId="12">
      <calculatedColumnFormula>B56/$B$4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46ECB9A-94CB-4A34-A39B-6A33EE7C8C9A}" name="Table17" displayName="Table17" ref="A61:D65" totalsRowShown="0" headerRowDxfId="6">
  <autoFilter ref="A61:D65" xr:uid="{C46ECB9A-94CB-4A34-A39B-6A33EE7C8C9A}"/>
  <tableColumns count="4">
    <tableColumn id="1" xr3:uid="{C2AB125C-4FC4-4EAE-B889-E8B3460FB297}" name="Assigned To" dataDxfId="10"/>
    <tableColumn id="2" xr3:uid="{6BDA91F5-0C44-4A03-8109-8E708EA35008}" name="Tickets Handled" dataDxfId="9"/>
    <tableColumn id="3" xr3:uid="{CF47AD30-9DC2-4720-8AD3-F0B713C27A66}" name="Percentage" dataDxfId="8">
      <calculatedColumnFormula>B62/$B$4</calculatedColumnFormula>
    </tableColumn>
    <tableColumn id="4" xr3:uid="{AD2A3BCD-54C8-4D73-B498-B50F0C71BC99}" name="Avg Resolution Time" dataDxfId="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D17036B-BC23-443A-A967-48871242D131}" name="Table18" displayName="Table18" ref="A68:D71" totalsRowShown="0" headerRowDxfId="0" dataDxfId="1">
  <autoFilter ref="A68:D71" xr:uid="{1D17036B-BC23-443A-A967-48871242D131}"/>
  <tableColumns count="4">
    <tableColumn id="1" xr3:uid="{AD9D0DFF-3796-46B1-997E-35236F0CA5FC}" name="Month" dataDxfId="5"/>
    <tableColumn id="2" xr3:uid="{B02DF0BB-5561-4CD6-BBD2-418A740392BA}" name="Tickets Created" dataDxfId="4">
      <calculatedColumnFormula>0</calculatedColumnFormula>
    </tableColumn>
    <tableColumn id="3" xr3:uid="{7886A455-0ACC-42A9-B1D6-94F5F1A7308C}" name="Tickets Resolved" dataDxfId="3">
      <calculatedColumnFormula>0</calculatedColumnFormula>
    </tableColumn>
    <tableColumn id="4" xr3:uid="{6368C42C-9F6B-4DE5-8C63-B21429AEB4E3}" name="Resolution Rate" dataDxfId="2">
      <calculatedColumnFormula>IF(B69&gt;0,C69/B69,0)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sqref="A1:F1"/>
    </sheetView>
  </sheetViews>
  <sheetFormatPr defaultRowHeight="14.4" x14ac:dyDescent="0.3"/>
  <cols>
    <col min="1" max="1" width="30" customWidth="1"/>
    <col min="2" max="2" width="20" customWidth="1"/>
    <col min="3" max="3" width="15" customWidth="1"/>
    <col min="4" max="4" width="20" customWidth="1"/>
    <col min="5" max="6" width="15" customWidth="1"/>
    <col min="7" max="7" width="10.109375" customWidth="1"/>
  </cols>
  <sheetData>
    <row r="1" spans="1:7" ht="18" x14ac:dyDescent="0.35">
      <c r="A1" s="2" t="s">
        <v>0</v>
      </c>
      <c r="B1" s="2"/>
      <c r="C1" s="2"/>
      <c r="D1" s="2"/>
      <c r="E1" s="2"/>
      <c r="F1" s="2"/>
    </row>
    <row r="3" spans="1:7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t="s">
        <v>181</v>
      </c>
    </row>
    <row r="4" spans="1:7" x14ac:dyDescent="0.3">
      <c r="A4">
        <v>1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7" x14ac:dyDescent="0.3">
      <c r="A5">
        <v>2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</row>
    <row r="6" spans="1:7" x14ac:dyDescent="0.3">
      <c r="A6">
        <v>3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</row>
    <row r="7" spans="1:7" x14ac:dyDescent="0.3">
      <c r="A7">
        <v>4</v>
      </c>
      <c r="B7" t="s">
        <v>22</v>
      </c>
      <c r="C7" t="s">
        <v>23</v>
      </c>
      <c r="D7" t="s">
        <v>19</v>
      </c>
      <c r="E7" t="s">
        <v>24</v>
      </c>
      <c r="F7" t="s">
        <v>25</v>
      </c>
    </row>
    <row r="8" spans="1:7" x14ac:dyDescent="0.3">
      <c r="A8">
        <v>5</v>
      </c>
      <c r="B8" t="s">
        <v>26</v>
      </c>
      <c r="C8" t="s">
        <v>27</v>
      </c>
      <c r="D8" t="s">
        <v>28</v>
      </c>
      <c r="E8" t="s">
        <v>15</v>
      </c>
      <c r="F8" t="s">
        <v>29</v>
      </c>
    </row>
    <row r="9" spans="1:7" x14ac:dyDescent="0.3">
      <c r="A9">
        <v>6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</row>
    <row r="10" spans="1:7" x14ac:dyDescent="0.3">
      <c r="A10">
        <v>7</v>
      </c>
      <c r="B10" t="s">
        <v>35</v>
      </c>
      <c r="C10" t="s">
        <v>36</v>
      </c>
      <c r="D10" t="s">
        <v>37</v>
      </c>
      <c r="E10" t="s">
        <v>10</v>
      </c>
      <c r="F10" t="s">
        <v>38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D15" sqref="D15"/>
    </sheetView>
  </sheetViews>
  <sheetFormatPr defaultRowHeight="14.4" x14ac:dyDescent="0.3"/>
  <cols>
    <col min="1" max="1" width="30" customWidth="1"/>
    <col min="2" max="2" width="20" customWidth="1"/>
    <col min="3" max="3" width="15" customWidth="1"/>
    <col min="4" max="4" width="20" customWidth="1"/>
    <col min="5" max="5" width="10.109375" customWidth="1"/>
  </cols>
  <sheetData>
    <row r="1" spans="1:4" ht="18" x14ac:dyDescent="0.35">
      <c r="A1" s="2" t="s">
        <v>39</v>
      </c>
      <c r="B1" s="2"/>
      <c r="C1" s="2"/>
      <c r="D1" s="2"/>
    </row>
    <row r="3" spans="1:4" x14ac:dyDescent="0.3">
      <c r="A3" s="1" t="s">
        <v>1</v>
      </c>
      <c r="B3" s="1" t="s">
        <v>2</v>
      </c>
      <c r="C3" s="1" t="s">
        <v>40</v>
      </c>
      <c r="D3" s="1" t="s">
        <v>6</v>
      </c>
    </row>
    <row r="4" spans="1:4" x14ac:dyDescent="0.3">
      <c r="A4">
        <v>1</v>
      </c>
      <c r="B4" t="s">
        <v>20</v>
      </c>
      <c r="C4" t="s">
        <v>41</v>
      </c>
      <c r="D4" t="s">
        <v>42</v>
      </c>
    </row>
    <row r="5" spans="1:4" x14ac:dyDescent="0.3">
      <c r="A5">
        <v>2</v>
      </c>
      <c r="B5" t="s">
        <v>24</v>
      </c>
      <c r="C5" t="s">
        <v>43</v>
      </c>
      <c r="D5" t="s">
        <v>42</v>
      </c>
    </row>
    <row r="6" spans="1:4" x14ac:dyDescent="0.3">
      <c r="A6">
        <v>3</v>
      </c>
      <c r="B6" t="s">
        <v>15</v>
      </c>
      <c r="C6" t="s">
        <v>44</v>
      </c>
      <c r="D6" t="s">
        <v>42</v>
      </c>
    </row>
    <row r="7" spans="1:4" x14ac:dyDescent="0.3">
      <c r="A7">
        <v>4</v>
      </c>
      <c r="B7" t="s">
        <v>33</v>
      </c>
      <c r="C7" t="s">
        <v>45</v>
      </c>
      <c r="D7" t="s">
        <v>42</v>
      </c>
    </row>
    <row r="8" spans="1:4" x14ac:dyDescent="0.3">
      <c r="A8">
        <v>5</v>
      </c>
      <c r="B8" t="s">
        <v>46</v>
      </c>
      <c r="C8" t="s">
        <v>47</v>
      </c>
      <c r="D8" t="s">
        <v>42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sqref="A1:F1"/>
    </sheetView>
  </sheetViews>
  <sheetFormatPr defaultRowHeight="14.4" x14ac:dyDescent="0.3"/>
  <cols>
    <col min="1" max="1" width="30" customWidth="1"/>
    <col min="2" max="2" width="20" customWidth="1"/>
    <col min="3" max="3" width="15" customWidth="1"/>
    <col min="4" max="4" width="20" customWidth="1"/>
    <col min="5" max="6" width="15" customWidth="1"/>
    <col min="7" max="7" width="10.109375" customWidth="1"/>
  </cols>
  <sheetData>
    <row r="1" spans="1:6" ht="18" x14ac:dyDescent="0.35">
      <c r="A1" s="2" t="s">
        <v>48</v>
      </c>
      <c r="B1" s="2"/>
      <c r="C1" s="2"/>
      <c r="D1" s="2"/>
      <c r="E1" s="2"/>
      <c r="F1" s="2"/>
    </row>
    <row r="3" spans="1:6" x14ac:dyDescent="0.3">
      <c r="A3" s="1" t="s">
        <v>1</v>
      </c>
      <c r="B3" s="1" t="s">
        <v>2</v>
      </c>
      <c r="C3" s="1" t="s">
        <v>40</v>
      </c>
      <c r="D3" s="1" t="s">
        <v>5</v>
      </c>
      <c r="E3" s="1" t="s">
        <v>49</v>
      </c>
      <c r="F3" s="1" t="s">
        <v>6</v>
      </c>
    </row>
    <row r="4" spans="1:6" x14ac:dyDescent="0.3">
      <c r="A4">
        <v>1</v>
      </c>
      <c r="B4" t="s">
        <v>50</v>
      </c>
      <c r="C4" t="s">
        <v>51</v>
      </c>
      <c r="D4" t="s">
        <v>20</v>
      </c>
      <c r="E4" t="s">
        <v>52</v>
      </c>
      <c r="F4" t="s">
        <v>53</v>
      </c>
    </row>
    <row r="5" spans="1:6" x14ac:dyDescent="0.3">
      <c r="A5">
        <v>2</v>
      </c>
      <c r="B5" t="s">
        <v>54</v>
      </c>
      <c r="C5" t="s">
        <v>55</v>
      </c>
      <c r="D5" t="s">
        <v>24</v>
      </c>
      <c r="E5" t="s">
        <v>52</v>
      </c>
      <c r="F5" t="s">
        <v>56</v>
      </c>
    </row>
    <row r="6" spans="1:6" x14ac:dyDescent="0.3">
      <c r="A6">
        <v>3</v>
      </c>
      <c r="B6" t="s">
        <v>57</v>
      </c>
      <c r="C6" t="s">
        <v>58</v>
      </c>
      <c r="D6" t="s">
        <v>15</v>
      </c>
      <c r="E6" t="s">
        <v>59</v>
      </c>
      <c r="F6" t="s">
        <v>60</v>
      </c>
    </row>
    <row r="7" spans="1:6" x14ac:dyDescent="0.3">
      <c r="A7">
        <v>4</v>
      </c>
      <c r="B7" t="s">
        <v>61</v>
      </c>
      <c r="C7" t="s">
        <v>62</v>
      </c>
      <c r="D7" t="s">
        <v>24</v>
      </c>
      <c r="E7" t="s">
        <v>52</v>
      </c>
      <c r="F7" t="s">
        <v>63</v>
      </c>
    </row>
    <row r="8" spans="1:6" x14ac:dyDescent="0.3">
      <c r="A8">
        <v>5</v>
      </c>
      <c r="B8" t="s">
        <v>64</v>
      </c>
      <c r="C8" t="s">
        <v>65</v>
      </c>
      <c r="D8" t="s">
        <v>20</v>
      </c>
      <c r="E8" t="s">
        <v>66</v>
      </c>
      <c r="F8" t="s">
        <v>67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selection activeCell="D17" sqref="D17"/>
    </sheetView>
  </sheetViews>
  <sheetFormatPr defaultRowHeight="14.4" x14ac:dyDescent="0.3"/>
  <cols>
    <col min="1" max="1" width="30" customWidth="1"/>
    <col min="2" max="2" width="20" customWidth="1"/>
    <col min="3" max="3" width="15" customWidth="1"/>
    <col min="4" max="4" width="20" customWidth="1"/>
    <col min="5" max="5" width="15" customWidth="1"/>
  </cols>
  <sheetData>
    <row r="1" spans="1:5" ht="18" x14ac:dyDescent="0.35">
      <c r="A1" s="2" t="s">
        <v>68</v>
      </c>
      <c r="B1" s="2"/>
      <c r="C1" s="2"/>
      <c r="D1" s="2"/>
      <c r="E1" s="2"/>
    </row>
    <row r="3" spans="1:5" x14ac:dyDescent="0.3">
      <c r="A3" s="1" t="s">
        <v>1</v>
      </c>
      <c r="B3" s="1" t="s">
        <v>2</v>
      </c>
      <c r="C3" s="1" t="s">
        <v>40</v>
      </c>
      <c r="D3" s="1" t="s">
        <v>69</v>
      </c>
      <c r="E3" s="1" t="s">
        <v>6</v>
      </c>
    </row>
    <row r="4" spans="1:5" x14ac:dyDescent="0.3">
      <c r="A4">
        <v>1</v>
      </c>
      <c r="B4" t="s">
        <v>70</v>
      </c>
      <c r="C4" t="s">
        <v>71</v>
      </c>
      <c r="D4" t="s">
        <v>72</v>
      </c>
      <c r="E4" t="s">
        <v>11</v>
      </c>
    </row>
    <row r="5" spans="1:5" x14ac:dyDescent="0.3">
      <c r="A5">
        <v>2</v>
      </c>
      <c r="B5" t="s">
        <v>73</v>
      </c>
      <c r="C5" t="s">
        <v>74</v>
      </c>
      <c r="D5" t="s">
        <v>72</v>
      </c>
      <c r="E5" t="s">
        <v>16</v>
      </c>
    </row>
    <row r="6" spans="1:5" x14ac:dyDescent="0.3">
      <c r="A6">
        <v>3</v>
      </c>
      <c r="B6" t="s">
        <v>75</v>
      </c>
      <c r="C6" t="s">
        <v>76</v>
      </c>
      <c r="D6" t="s">
        <v>77</v>
      </c>
      <c r="E6" t="s">
        <v>21</v>
      </c>
    </row>
    <row r="7" spans="1:5" x14ac:dyDescent="0.3">
      <c r="A7">
        <v>4</v>
      </c>
      <c r="B7" t="s">
        <v>78</v>
      </c>
      <c r="C7" t="s">
        <v>79</v>
      </c>
      <c r="D7" t="s">
        <v>72</v>
      </c>
      <c r="E7" t="s">
        <v>25</v>
      </c>
    </row>
    <row r="8" spans="1:5" x14ac:dyDescent="0.3">
      <c r="A8">
        <v>5</v>
      </c>
      <c r="B8" t="s">
        <v>80</v>
      </c>
      <c r="C8" t="s">
        <v>81</v>
      </c>
      <c r="D8" t="s">
        <v>77</v>
      </c>
      <c r="E8" t="s">
        <v>29</v>
      </c>
    </row>
    <row r="9" spans="1:5" x14ac:dyDescent="0.3">
      <c r="A9">
        <v>6</v>
      </c>
      <c r="B9" t="s">
        <v>82</v>
      </c>
      <c r="C9" t="s">
        <v>83</v>
      </c>
      <c r="D9" t="s">
        <v>77</v>
      </c>
      <c r="E9" t="s">
        <v>34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workbookViewId="0">
      <selection sqref="A1:L1"/>
    </sheetView>
  </sheetViews>
  <sheetFormatPr defaultRowHeight="14.4" x14ac:dyDescent="0.3"/>
  <cols>
    <col min="1" max="1" width="30" customWidth="1"/>
    <col min="2" max="2" width="20" customWidth="1"/>
    <col min="3" max="3" width="15" customWidth="1"/>
    <col min="4" max="4" width="20" customWidth="1"/>
    <col min="5" max="5" width="17" customWidth="1"/>
    <col min="6" max="12" width="15" customWidth="1"/>
    <col min="13" max="13" width="10.109375" customWidth="1"/>
  </cols>
  <sheetData>
    <row r="1" spans="1:13" ht="18" x14ac:dyDescent="0.35">
      <c r="A1" s="2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spans="1:13" x14ac:dyDescent="0.3">
      <c r="A3" s="1" t="s">
        <v>1</v>
      </c>
      <c r="B3" s="1" t="s">
        <v>85</v>
      </c>
      <c r="C3" s="1" t="s">
        <v>5</v>
      </c>
      <c r="D3" s="1" t="s">
        <v>86</v>
      </c>
      <c r="E3" s="1" t="s">
        <v>87</v>
      </c>
      <c r="F3" s="1" t="s">
        <v>88</v>
      </c>
      <c r="G3" s="1" t="s">
        <v>89</v>
      </c>
      <c r="H3" s="1" t="s">
        <v>49</v>
      </c>
      <c r="I3" s="1" t="s">
        <v>69</v>
      </c>
      <c r="J3" s="1" t="s">
        <v>6</v>
      </c>
      <c r="K3" s="1" t="s">
        <v>90</v>
      </c>
      <c r="L3" s="1" t="s">
        <v>91</v>
      </c>
      <c r="M3" t="s">
        <v>181</v>
      </c>
    </row>
    <row r="4" spans="1:13" x14ac:dyDescent="0.3">
      <c r="A4">
        <v>1</v>
      </c>
      <c r="B4" t="s">
        <v>50</v>
      </c>
      <c r="C4" t="s">
        <v>20</v>
      </c>
      <c r="D4" t="s">
        <v>70</v>
      </c>
      <c r="E4" t="s">
        <v>92</v>
      </c>
      <c r="F4" t="s">
        <v>7</v>
      </c>
      <c r="G4" t="s">
        <v>17</v>
      </c>
      <c r="H4" t="s">
        <v>93</v>
      </c>
      <c r="I4" t="s">
        <v>72</v>
      </c>
      <c r="J4" t="s">
        <v>94</v>
      </c>
      <c r="K4" t="s">
        <v>95</v>
      </c>
      <c r="L4" t="s">
        <v>96</v>
      </c>
    </row>
    <row r="5" spans="1:13" x14ac:dyDescent="0.3">
      <c r="A5">
        <v>2</v>
      </c>
      <c r="B5" t="s">
        <v>54</v>
      </c>
      <c r="C5" t="s">
        <v>24</v>
      </c>
      <c r="D5" t="s">
        <v>73</v>
      </c>
      <c r="E5" t="s">
        <v>97</v>
      </c>
      <c r="F5" t="s">
        <v>12</v>
      </c>
      <c r="G5" t="s">
        <v>35</v>
      </c>
      <c r="H5" t="s">
        <v>98</v>
      </c>
      <c r="I5" t="s">
        <v>72</v>
      </c>
      <c r="J5" t="s">
        <v>99</v>
      </c>
      <c r="K5" t="s">
        <v>100</v>
      </c>
      <c r="L5" t="s">
        <v>100</v>
      </c>
    </row>
    <row r="6" spans="1:13" x14ac:dyDescent="0.3">
      <c r="A6">
        <v>3</v>
      </c>
      <c r="B6" t="s">
        <v>57</v>
      </c>
      <c r="C6" t="s">
        <v>15</v>
      </c>
      <c r="D6" t="s">
        <v>75</v>
      </c>
      <c r="E6" t="s">
        <v>101</v>
      </c>
      <c r="F6" t="s">
        <v>17</v>
      </c>
      <c r="G6" t="s">
        <v>26</v>
      </c>
      <c r="H6" t="s">
        <v>93</v>
      </c>
      <c r="I6" t="s">
        <v>77</v>
      </c>
      <c r="J6" t="s">
        <v>102</v>
      </c>
      <c r="K6" t="s">
        <v>103</v>
      </c>
      <c r="L6" t="s">
        <v>96</v>
      </c>
    </row>
    <row r="7" spans="1:13" x14ac:dyDescent="0.3">
      <c r="A7">
        <v>4</v>
      </c>
      <c r="B7" t="s">
        <v>61</v>
      </c>
      <c r="C7" t="s">
        <v>24</v>
      </c>
      <c r="D7" t="s">
        <v>78</v>
      </c>
      <c r="E7" t="s">
        <v>104</v>
      </c>
      <c r="F7" t="s">
        <v>22</v>
      </c>
      <c r="G7" t="s">
        <v>35</v>
      </c>
      <c r="H7" t="s">
        <v>98</v>
      </c>
      <c r="I7" t="s">
        <v>72</v>
      </c>
      <c r="J7" t="s">
        <v>105</v>
      </c>
      <c r="K7" t="s">
        <v>106</v>
      </c>
      <c r="L7" t="s">
        <v>106</v>
      </c>
    </row>
    <row r="8" spans="1:13" x14ac:dyDescent="0.3">
      <c r="A8">
        <v>5</v>
      </c>
      <c r="B8" t="s">
        <v>64</v>
      </c>
      <c r="C8" t="s">
        <v>20</v>
      </c>
      <c r="D8" t="s">
        <v>80</v>
      </c>
      <c r="E8" t="s">
        <v>107</v>
      </c>
      <c r="F8" t="s">
        <v>26</v>
      </c>
      <c r="G8" t="s">
        <v>17</v>
      </c>
      <c r="H8" t="s">
        <v>93</v>
      </c>
      <c r="I8" t="s">
        <v>77</v>
      </c>
      <c r="J8" t="s">
        <v>108</v>
      </c>
      <c r="K8" t="s">
        <v>109</v>
      </c>
      <c r="L8" t="s">
        <v>96</v>
      </c>
    </row>
    <row r="9" spans="1:13" x14ac:dyDescent="0.3">
      <c r="A9">
        <v>6</v>
      </c>
      <c r="B9" t="s">
        <v>50</v>
      </c>
      <c r="C9" t="s">
        <v>15</v>
      </c>
      <c r="D9" t="s">
        <v>82</v>
      </c>
      <c r="E9" t="s">
        <v>110</v>
      </c>
      <c r="F9" t="s">
        <v>30</v>
      </c>
      <c r="G9" t="s">
        <v>26</v>
      </c>
      <c r="H9" t="s">
        <v>111</v>
      </c>
      <c r="I9" t="s">
        <v>77</v>
      </c>
      <c r="J9" t="s">
        <v>112</v>
      </c>
      <c r="K9" t="s">
        <v>112</v>
      </c>
      <c r="L9" t="s">
        <v>96</v>
      </c>
    </row>
    <row r="10" spans="1:13" x14ac:dyDescent="0.3">
      <c r="A10">
        <v>7</v>
      </c>
      <c r="B10" t="s">
        <v>54</v>
      </c>
      <c r="C10" t="s">
        <v>20</v>
      </c>
      <c r="D10" t="s">
        <v>70</v>
      </c>
      <c r="E10" t="s">
        <v>113</v>
      </c>
      <c r="F10" t="s">
        <v>35</v>
      </c>
      <c r="G10" t="s">
        <v>17</v>
      </c>
      <c r="H10" t="s">
        <v>98</v>
      </c>
      <c r="I10" t="s">
        <v>72</v>
      </c>
      <c r="J10" t="s">
        <v>114</v>
      </c>
      <c r="K10" t="s">
        <v>115</v>
      </c>
      <c r="L10" t="s">
        <v>115</v>
      </c>
    </row>
    <row r="11" spans="1:13" x14ac:dyDescent="0.3">
      <c r="A11">
        <v>8</v>
      </c>
      <c r="B11" t="s">
        <v>61</v>
      </c>
      <c r="C11" t="s">
        <v>33</v>
      </c>
      <c r="D11" t="s">
        <v>73</v>
      </c>
      <c r="E11" t="s">
        <v>116</v>
      </c>
      <c r="F11" t="s">
        <v>7</v>
      </c>
      <c r="G11" t="s">
        <v>22</v>
      </c>
      <c r="H11" t="s">
        <v>93</v>
      </c>
      <c r="I11" t="s">
        <v>72</v>
      </c>
      <c r="J11" t="s">
        <v>117</v>
      </c>
      <c r="K11" t="s">
        <v>118</v>
      </c>
      <c r="L11" t="s">
        <v>96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workbookViewId="0">
      <selection sqref="A1:F1"/>
    </sheetView>
  </sheetViews>
  <sheetFormatPr defaultRowHeight="14.4" x14ac:dyDescent="0.3"/>
  <cols>
    <col min="1" max="1" width="30" customWidth="1"/>
    <col min="2" max="2" width="20" customWidth="1"/>
    <col min="3" max="3" width="15" customWidth="1"/>
    <col min="4" max="4" width="20" customWidth="1"/>
    <col min="5" max="6" width="15" customWidth="1"/>
    <col min="7" max="7" width="10.109375" customWidth="1"/>
  </cols>
  <sheetData>
    <row r="1" spans="1:6" ht="18" x14ac:dyDescent="0.35">
      <c r="A1" s="2" t="s">
        <v>119</v>
      </c>
      <c r="B1" s="2"/>
      <c r="C1" s="2"/>
      <c r="D1" s="2"/>
      <c r="E1" s="2"/>
      <c r="F1" s="2"/>
    </row>
    <row r="3" spans="1:6" x14ac:dyDescent="0.3">
      <c r="A3" s="1" t="s">
        <v>1</v>
      </c>
      <c r="B3" s="1" t="s">
        <v>120</v>
      </c>
      <c r="C3" s="1" t="s">
        <v>49</v>
      </c>
      <c r="D3" s="1" t="s">
        <v>121</v>
      </c>
      <c r="E3" s="1" t="s">
        <v>122</v>
      </c>
      <c r="F3" s="1" t="s">
        <v>6</v>
      </c>
    </row>
    <row r="4" spans="1:6" x14ac:dyDescent="0.3">
      <c r="A4">
        <v>1</v>
      </c>
      <c r="B4">
        <v>1</v>
      </c>
      <c r="C4" t="s">
        <v>111</v>
      </c>
      <c r="D4" t="s">
        <v>123</v>
      </c>
      <c r="E4" t="s">
        <v>7</v>
      </c>
      <c r="F4" t="s">
        <v>94</v>
      </c>
    </row>
    <row r="5" spans="1:6" x14ac:dyDescent="0.3">
      <c r="A5">
        <v>2</v>
      </c>
      <c r="B5">
        <v>1</v>
      </c>
      <c r="C5" t="s">
        <v>93</v>
      </c>
      <c r="D5" t="s">
        <v>124</v>
      </c>
      <c r="E5" t="s">
        <v>12</v>
      </c>
      <c r="F5" t="s">
        <v>125</v>
      </c>
    </row>
    <row r="6" spans="1:6" x14ac:dyDescent="0.3">
      <c r="A6">
        <v>3</v>
      </c>
      <c r="B6">
        <v>1</v>
      </c>
      <c r="C6" t="s">
        <v>93</v>
      </c>
      <c r="D6" t="s">
        <v>126</v>
      </c>
      <c r="E6" t="s">
        <v>17</v>
      </c>
      <c r="F6" t="s">
        <v>95</v>
      </c>
    </row>
    <row r="7" spans="1:6" x14ac:dyDescent="0.3">
      <c r="A7">
        <v>4</v>
      </c>
      <c r="B7">
        <v>2</v>
      </c>
      <c r="C7" t="s">
        <v>111</v>
      </c>
      <c r="D7" t="s">
        <v>127</v>
      </c>
      <c r="E7" t="s">
        <v>12</v>
      </c>
      <c r="F7" t="s">
        <v>99</v>
      </c>
    </row>
    <row r="8" spans="1:6" x14ac:dyDescent="0.3">
      <c r="A8">
        <v>5</v>
      </c>
      <c r="B8">
        <v>2</v>
      </c>
      <c r="C8" t="s">
        <v>93</v>
      </c>
      <c r="D8" t="s">
        <v>128</v>
      </c>
      <c r="E8" t="s">
        <v>22</v>
      </c>
      <c r="F8" t="s">
        <v>129</v>
      </c>
    </row>
    <row r="9" spans="1:6" x14ac:dyDescent="0.3">
      <c r="A9">
        <v>6</v>
      </c>
      <c r="B9">
        <v>2</v>
      </c>
      <c r="C9" t="s">
        <v>98</v>
      </c>
      <c r="D9" t="s">
        <v>130</v>
      </c>
      <c r="E9" t="s">
        <v>35</v>
      </c>
      <c r="F9" t="s">
        <v>100</v>
      </c>
    </row>
    <row r="10" spans="1:6" x14ac:dyDescent="0.3">
      <c r="A10">
        <v>7</v>
      </c>
      <c r="B10">
        <v>3</v>
      </c>
      <c r="C10" t="s">
        <v>111</v>
      </c>
      <c r="D10" t="s">
        <v>131</v>
      </c>
      <c r="E10" t="s">
        <v>17</v>
      </c>
      <c r="F10" t="s">
        <v>102</v>
      </c>
    </row>
    <row r="11" spans="1:6" x14ac:dyDescent="0.3">
      <c r="A11">
        <v>8</v>
      </c>
      <c r="B11">
        <v>3</v>
      </c>
      <c r="C11" t="s">
        <v>93</v>
      </c>
      <c r="D11" t="s">
        <v>132</v>
      </c>
      <c r="E11" t="s">
        <v>26</v>
      </c>
      <c r="F11" t="s">
        <v>103</v>
      </c>
    </row>
    <row r="12" spans="1:6" x14ac:dyDescent="0.3">
      <c r="A12">
        <v>9</v>
      </c>
      <c r="B12">
        <v>4</v>
      </c>
      <c r="C12" t="s">
        <v>111</v>
      </c>
      <c r="D12" t="s">
        <v>133</v>
      </c>
      <c r="E12" t="s">
        <v>22</v>
      </c>
      <c r="F12" t="s">
        <v>105</v>
      </c>
    </row>
    <row r="13" spans="1:6" x14ac:dyDescent="0.3">
      <c r="A13">
        <v>10</v>
      </c>
      <c r="B13">
        <v>4</v>
      </c>
      <c r="C13" t="s">
        <v>93</v>
      </c>
      <c r="D13" t="s">
        <v>134</v>
      </c>
      <c r="E13" t="s">
        <v>35</v>
      </c>
      <c r="F13" t="s">
        <v>135</v>
      </c>
    </row>
    <row r="14" spans="1:6" x14ac:dyDescent="0.3">
      <c r="A14">
        <v>11</v>
      </c>
      <c r="B14">
        <v>4</v>
      </c>
      <c r="C14" t="s">
        <v>98</v>
      </c>
      <c r="D14" t="s">
        <v>136</v>
      </c>
      <c r="E14" t="s">
        <v>35</v>
      </c>
      <c r="F14" t="s">
        <v>106</v>
      </c>
    </row>
    <row r="15" spans="1:6" x14ac:dyDescent="0.3">
      <c r="A15">
        <v>12</v>
      </c>
      <c r="B15">
        <v>5</v>
      </c>
      <c r="C15" t="s">
        <v>111</v>
      </c>
      <c r="D15" t="s">
        <v>137</v>
      </c>
      <c r="E15" t="s">
        <v>26</v>
      </c>
      <c r="F15" t="s">
        <v>108</v>
      </c>
    </row>
    <row r="16" spans="1:6" x14ac:dyDescent="0.3">
      <c r="A16">
        <v>13</v>
      </c>
      <c r="B16">
        <v>5</v>
      </c>
      <c r="C16" t="s">
        <v>93</v>
      </c>
      <c r="D16" t="s">
        <v>138</v>
      </c>
      <c r="E16" t="s">
        <v>17</v>
      </c>
      <c r="F16" t="s">
        <v>109</v>
      </c>
    </row>
    <row r="17" spans="1:6" x14ac:dyDescent="0.3">
      <c r="A17">
        <v>14</v>
      </c>
      <c r="B17">
        <v>6</v>
      </c>
      <c r="C17" t="s">
        <v>111</v>
      </c>
      <c r="D17" t="s">
        <v>139</v>
      </c>
      <c r="E17" t="s">
        <v>30</v>
      </c>
      <c r="F17" t="s">
        <v>112</v>
      </c>
    </row>
    <row r="18" spans="1:6" x14ac:dyDescent="0.3">
      <c r="A18">
        <v>15</v>
      </c>
      <c r="B18">
        <v>7</v>
      </c>
      <c r="C18" t="s">
        <v>111</v>
      </c>
      <c r="D18" t="s">
        <v>140</v>
      </c>
      <c r="E18" t="s">
        <v>35</v>
      </c>
      <c r="F18" t="s">
        <v>114</v>
      </c>
    </row>
    <row r="19" spans="1:6" x14ac:dyDescent="0.3">
      <c r="A19">
        <v>16</v>
      </c>
      <c r="B19">
        <v>7</v>
      </c>
      <c r="C19" t="s">
        <v>98</v>
      </c>
      <c r="D19" t="s">
        <v>141</v>
      </c>
      <c r="E19" t="s">
        <v>17</v>
      </c>
      <c r="F19" t="s">
        <v>115</v>
      </c>
    </row>
    <row r="20" spans="1:6" x14ac:dyDescent="0.3">
      <c r="A20">
        <v>17</v>
      </c>
      <c r="B20">
        <v>8</v>
      </c>
      <c r="C20" t="s">
        <v>111</v>
      </c>
      <c r="D20" t="s">
        <v>142</v>
      </c>
      <c r="E20" t="s">
        <v>7</v>
      </c>
      <c r="F20" t="s">
        <v>117</v>
      </c>
    </row>
    <row r="21" spans="1:6" x14ac:dyDescent="0.3">
      <c r="A21">
        <v>18</v>
      </c>
      <c r="B21">
        <v>8</v>
      </c>
      <c r="C21" t="s">
        <v>93</v>
      </c>
      <c r="D21" t="s">
        <v>143</v>
      </c>
      <c r="E21" t="s">
        <v>22</v>
      </c>
      <c r="F21" t="s">
        <v>118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1"/>
  <sheetViews>
    <sheetView topLeftCell="A25" zoomScale="61" workbookViewId="0">
      <selection activeCell="A68" sqref="A68:D71"/>
    </sheetView>
  </sheetViews>
  <sheetFormatPr defaultRowHeight="14.4" x14ac:dyDescent="0.3"/>
  <cols>
    <col min="1" max="1" width="39.21875" style="3" customWidth="1"/>
    <col min="2" max="2" width="21.44140625" style="3" customWidth="1"/>
    <col min="3" max="3" width="22.44140625" style="3" customWidth="1"/>
    <col min="4" max="4" width="26.5546875" style="3" customWidth="1"/>
    <col min="5" max="12" width="15" style="3" customWidth="1"/>
    <col min="13" max="16384" width="8.88671875" style="3"/>
  </cols>
  <sheetData>
    <row r="1" spans="1:12" ht="25.8" x14ac:dyDescent="0.5">
      <c r="A1" s="6" t="s">
        <v>144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18" x14ac:dyDescent="0.35">
      <c r="A3" s="7" t="s">
        <v>145</v>
      </c>
      <c r="B3" s="3" t="s">
        <v>96</v>
      </c>
      <c r="C3" s="3" t="s">
        <v>96</v>
      </c>
      <c r="D3" s="3" t="s">
        <v>96</v>
      </c>
      <c r="E3" s="3" t="s">
        <v>96</v>
      </c>
      <c r="F3" s="3" t="s">
        <v>96</v>
      </c>
      <c r="G3" s="3" t="s">
        <v>96</v>
      </c>
      <c r="H3" s="3" t="s">
        <v>96</v>
      </c>
      <c r="I3" s="3" t="s">
        <v>96</v>
      </c>
      <c r="J3" s="3" t="s">
        <v>96</v>
      </c>
      <c r="K3" s="3" t="s">
        <v>96</v>
      </c>
      <c r="L3" s="3" t="s">
        <v>96</v>
      </c>
    </row>
    <row r="4" spans="1:12" ht="21" x14ac:dyDescent="0.4">
      <c r="A4" s="8" t="s">
        <v>146</v>
      </c>
      <c r="B4" s="4">
        <f>COUNT(Tickets!A4:A11)</f>
        <v>8</v>
      </c>
      <c r="C4" s="3" t="s">
        <v>96</v>
      </c>
      <c r="D4" s="3" t="s">
        <v>96</v>
      </c>
      <c r="E4" s="3" t="s">
        <v>96</v>
      </c>
      <c r="F4" s="3" t="s">
        <v>96</v>
      </c>
      <c r="G4" s="3" t="s">
        <v>96</v>
      </c>
      <c r="H4" s="3" t="s">
        <v>96</v>
      </c>
      <c r="I4" s="3" t="s">
        <v>96</v>
      </c>
      <c r="J4" s="3" t="s">
        <v>96</v>
      </c>
      <c r="K4" s="3" t="s">
        <v>96</v>
      </c>
      <c r="L4" s="3" t="s">
        <v>96</v>
      </c>
    </row>
    <row r="5" spans="1:12" ht="21" x14ac:dyDescent="0.4">
      <c r="A5" s="8" t="s">
        <v>147</v>
      </c>
      <c r="B5" s="4">
        <f>0%</f>
        <v>0</v>
      </c>
      <c r="C5" s="3" t="s">
        <v>96</v>
      </c>
      <c r="D5" s="3" t="s">
        <v>96</v>
      </c>
      <c r="E5" s="3" t="s">
        <v>96</v>
      </c>
      <c r="F5" s="3" t="s">
        <v>96</v>
      </c>
      <c r="G5" s="3" t="s">
        <v>96</v>
      </c>
      <c r="H5" s="3" t="s">
        <v>96</v>
      </c>
      <c r="I5" s="3" t="s">
        <v>96</v>
      </c>
      <c r="J5" s="3" t="s">
        <v>96</v>
      </c>
      <c r="K5" s="3" t="s">
        <v>96</v>
      </c>
      <c r="L5" s="3" t="s">
        <v>96</v>
      </c>
    </row>
    <row r="6" spans="1:12" ht="21" x14ac:dyDescent="0.4">
      <c r="A6" s="8" t="s">
        <v>148</v>
      </c>
      <c r="B6" s="5">
        <f>IFERROR(AVERAGE(IF(Tickets!L4:L11&lt;&gt;"",(Tickets!L4:L11-Tickets!J4:J11)*24,0)),0)</f>
        <v>0</v>
      </c>
      <c r="C6" s="3" t="s">
        <v>96</v>
      </c>
      <c r="D6" s="3" t="s">
        <v>96</v>
      </c>
      <c r="E6" s="3" t="s">
        <v>96</v>
      </c>
      <c r="F6" s="3" t="s">
        <v>96</v>
      </c>
      <c r="G6" s="3" t="s">
        <v>96</v>
      </c>
      <c r="H6" s="3" t="s">
        <v>96</v>
      </c>
      <c r="I6" s="3" t="s">
        <v>96</v>
      </c>
      <c r="J6" s="3" t="s">
        <v>96</v>
      </c>
      <c r="K6" s="3" t="s">
        <v>96</v>
      </c>
      <c r="L6" s="3" t="s">
        <v>96</v>
      </c>
    </row>
    <row r="7" spans="1:12" ht="21" x14ac:dyDescent="0.4">
      <c r="A7" s="8" t="s">
        <v>149</v>
      </c>
      <c r="B7" s="4">
        <f>COUNTA(Departments!B4:B8)</f>
        <v>5</v>
      </c>
      <c r="C7" s="3" t="s">
        <v>96</v>
      </c>
      <c r="D7" s="3" t="s">
        <v>96</v>
      </c>
      <c r="E7" s="3" t="s">
        <v>96</v>
      </c>
      <c r="F7" s="3" t="s">
        <v>96</v>
      </c>
      <c r="G7" s="3" t="s">
        <v>96</v>
      </c>
      <c r="H7" s="3" t="s">
        <v>96</v>
      </c>
      <c r="I7" s="3" t="s">
        <v>96</v>
      </c>
      <c r="J7" s="3" t="s">
        <v>96</v>
      </c>
      <c r="K7" s="3" t="s">
        <v>96</v>
      </c>
      <c r="L7" s="3" t="s">
        <v>96</v>
      </c>
    </row>
    <row r="9" spans="1:12" ht="18" x14ac:dyDescent="0.35">
      <c r="A9" s="7" t="s">
        <v>150</v>
      </c>
      <c r="B9" s="3" t="s">
        <v>96</v>
      </c>
      <c r="C9" s="3" t="s">
        <v>96</v>
      </c>
      <c r="D9" s="3" t="s">
        <v>96</v>
      </c>
      <c r="E9" s="3" t="s">
        <v>96</v>
      </c>
      <c r="F9" s="3" t="s">
        <v>96</v>
      </c>
      <c r="G9" s="3" t="s">
        <v>96</v>
      </c>
      <c r="H9" s="3" t="s">
        <v>96</v>
      </c>
      <c r="I9" s="3" t="s">
        <v>96</v>
      </c>
      <c r="J9" s="3" t="s">
        <v>96</v>
      </c>
      <c r="K9" s="3" t="s">
        <v>96</v>
      </c>
      <c r="L9" s="3" t="s">
        <v>96</v>
      </c>
    </row>
    <row r="10" spans="1:12" x14ac:dyDescent="0.3">
      <c r="A10" s="9" t="s">
        <v>5</v>
      </c>
      <c r="B10" s="9" t="s">
        <v>151</v>
      </c>
      <c r="C10" s="9" t="s">
        <v>152</v>
      </c>
      <c r="D10" s="3" t="s">
        <v>96</v>
      </c>
      <c r="E10" s="3" t="s">
        <v>96</v>
      </c>
      <c r="F10" s="3" t="s">
        <v>96</v>
      </c>
      <c r="G10" s="3" t="s">
        <v>96</v>
      </c>
      <c r="H10" s="3" t="s">
        <v>96</v>
      </c>
      <c r="I10" s="3" t="s">
        <v>96</v>
      </c>
      <c r="J10" s="3" t="s">
        <v>96</v>
      </c>
      <c r="K10" s="3" t="s">
        <v>96</v>
      </c>
      <c r="L10" s="3" t="s">
        <v>96</v>
      </c>
    </row>
    <row r="11" spans="1:12" x14ac:dyDescent="0.3">
      <c r="A11" s="10" t="s">
        <v>20</v>
      </c>
      <c r="B11" s="10">
        <f>COUNTIF(Tickets!C4:C11,"Frontend Development")</f>
        <v>3</v>
      </c>
      <c r="C11" s="11">
        <f>B11/$B$4</f>
        <v>0.375</v>
      </c>
    </row>
    <row r="12" spans="1:12" x14ac:dyDescent="0.3">
      <c r="A12" s="10" t="s">
        <v>15</v>
      </c>
      <c r="B12" s="10">
        <f>COUNTIF(Tickets!C4:C11,"Quality Assurance")</f>
        <v>2</v>
      </c>
      <c r="C12" s="11">
        <f>B12/$B$4</f>
        <v>0.25</v>
      </c>
    </row>
    <row r="13" spans="1:12" x14ac:dyDescent="0.3">
      <c r="A13" s="10" t="s">
        <v>24</v>
      </c>
      <c r="B13" s="10">
        <f>COUNTIF(Tickets!C4:C11,"Backend Development")</f>
        <v>2</v>
      </c>
      <c r="C13" s="11">
        <f>B13/$B$4</f>
        <v>0.25</v>
      </c>
    </row>
    <row r="14" spans="1:12" x14ac:dyDescent="0.3">
      <c r="A14" s="10" t="s">
        <v>33</v>
      </c>
      <c r="B14" s="10">
        <f>COUNTIF(Tickets!C4:C11,"Product Management")</f>
        <v>1</v>
      </c>
      <c r="C14" s="11">
        <f>B14/$B$4</f>
        <v>0.125</v>
      </c>
    </row>
    <row r="16" spans="1:12" ht="18" x14ac:dyDescent="0.35">
      <c r="A16" s="7" t="s">
        <v>153</v>
      </c>
      <c r="B16" s="3" t="s">
        <v>96</v>
      </c>
      <c r="C16" s="3" t="s">
        <v>96</v>
      </c>
      <c r="D16" s="3" t="s">
        <v>96</v>
      </c>
      <c r="E16" s="3" t="s">
        <v>96</v>
      </c>
      <c r="F16" s="3" t="s">
        <v>96</v>
      </c>
      <c r="G16" s="3" t="s">
        <v>96</v>
      </c>
      <c r="H16" s="3" t="s">
        <v>96</v>
      </c>
      <c r="I16" s="3" t="s">
        <v>96</v>
      </c>
      <c r="J16" s="3" t="s">
        <v>96</v>
      </c>
      <c r="K16" s="3" t="s">
        <v>96</v>
      </c>
      <c r="L16" s="3" t="s">
        <v>96</v>
      </c>
    </row>
    <row r="17" spans="1:12" x14ac:dyDescent="0.3">
      <c r="A17" s="9" t="s">
        <v>120</v>
      </c>
      <c r="B17" s="9" t="s">
        <v>154</v>
      </c>
      <c r="C17" s="9" t="s">
        <v>155</v>
      </c>
      <c r="D17" s="9" t="s">
        <v>156</v>
      </c>
      <c r="E17" s="3" t="s">
        <v>181</v>
      </c>
      <c r="F17" s="3" t="s">
        <v>96</v>
      </c>
      <c r="G17" s="3" t="s">
        <v>96</v>
      </c>
      <c r="H17" s="3" t="s">
        <v>96</v>
      </c>
      <c r="I17" s="3" t="s">
        <v>96</v>
      </c>
      <c r="J17" s="3" t="s">
        <v>96</v>
      </c>
      <c r="K17" s="3" t="s">
        <v>96</v>
      </c>
      <c r="L17" s="3" t="s">
        <v>96</v>
      </c>
    </row>
    <row r="18" spans="1:12" x14ac:dyDescent="0.3">
      <c r="A18" s="10">
        <v>2</v>
      </c>
      <c r="B18" s="10" t="str">
        <f>Tickets!J5</f>
        <v>2025-03-16 10:15:00</v>
      </c>
      <c r="C18" s="10" t="str">
        <f>Tickets!L5</f>
        <v>2025-03-18 16:45:00</v>
      </c>
      <c r="D18" s="12">
        <f>IF(C18&lt;&gt;"",(C18-B18)*24,0)</f>
        <v>54.499999999883585</v>
      </c>
    </row>
    <row r="19" spans="1:12" x14ac:dyDescent="0.3">
      <c r="A19" s="10">
        <v>4</v>
      </c>
      <c r="B19" s="10" t="str">
        <f>Tickets!J7</f>
        <v>2025-03-18 08:45:00</v>
      </c>
      <c r="C19" s="10" t="str">
        <f>Tickets!L7</f>
        <v>2025-03-19 12:30:00</v>
      </c>
      <c r="D19" s="12">
        <f>IF(C19&lt;&gt;"",(C19-B19)*24,0)</f>
        <v>27.75</v>
      </c>
    </row>
    <row r="20" spans="1:12" x14ac:dyDescent="0.3">
      <c r="A20" s="10">
        <v>7</v>
      </c>
      <c r="B20" s="10" t="str">
        <f>Tickets!J10</f>
        <v>2025-03-21 14:00:00</v>
      </c>
      <c r="C20" s="10" t="str">
        <f>Tickets!L10</f>
        <v>2025-03-22 10:30:00</v>
      </c>
      <c r="D20" s="12">
        <f>IF(C20&lt;&gt;"",(C20-B20)*24,0)</f>
        <v>20.499999999941792</v>
      </c>
    </row>
    <row r="22" spans="1:12" x14ac:dyDescent="0.3">
      <c r="A22" s="9" t="s">
        <v>157</v>
      </c>
      <c r="B22" s="3" t="s">
        <v>96</v>
      </c>
      <c r="C22" s="3" t="s">
        <v>96</v>
      </c>
      <c r="D22" s="13">
        <f>IFERROR(AVERAGE(D18:D20),0)</f>
        <v>34.249999999941792</v>
      </c>
      <c r="E22" s="3" t="s">
        <v>96</v>
      </c>
      <c r="F22" s="3" t="s">
        <v>96</v>
      </c>
      <c r="G22" s="3" t="s">
        <v>96</v>
      </c>
      <c r="H22" s="3" t="s">
        <v>96</v>
      </c>
      <c r="I22" s="3" t="s">
        <v>96</v>
      </c>
      <c r="J22" s="3" t="s">
        <v>96</v>
      </c>
      <c r="K22" s="3" t="s">
        <v>96</v>
      </c>
      <c r="L22" s="3" t="s">
        <v>96</v>
      </c>
    </row>
    <row r="24" spans="1:12" ht="18" x14ac:dyDescent="0.35">
      <c r="A24" s="7" t="s">
        <v>158</v>
      </c>
      <c r="B24" s="3" t="s">
        <v>96</v>
      </c>
      <c r="C24" s="3" t="s">
        <v>96</v>
      </c>
      <c r="D24" s="3" t="s">
        <v>96</v>
      </c>
      <c r="E24" s="3" t="s">
        <v>96</v>
      </c>
      <c r="F24" s="3" t="s">
        <v>96</v>
      </c>
      <c r="G24" s="3" t="s">
        <v>96</v>
      </c>
      <c r="H24" s="3" t="s">
        <v>96</v>
      </c>
      <c r="I24" s="3" t="s">
        <v>96</v>
      </c>
      <c r="J24" s="3" t="s">
        <v>96</v>
      </c>
      <c r="K24" s="3" t="s">
        <v>96</v>
      </c>
      <c r="L24" s="3" t="s">
        <v>96</v>
      </c>
    </row>
    <row r="25" spans="1:12" x14ac:dyDescent="0.3">
      <c r="A25" s="9" t="s">
        <v>159</v>
      </c>
      <c r="B25" s="9" t="s">
        <v>160</v>
      </c>
      <c r="C25" s="9" t="s">
        <v>152</v>
      </c>
      <c r="D25" s="3" t="s">
        <v>96</v>
      </c>
      <c r="E25" s="3" t="s">
        <v>96</v>
      </c>
      <c r="F25" s="3" t="s">
        <v>96</v>
      </c>
      <c r="G25" s="3" t="s">
        <v>96</v>
      </c>
      <c r="H25" s="3" t="s">
        <v>96</v>
      </c>
      <c r="I25" s="3" t="s">
        <v>96</v>
      </c>
      <c r="J25" s="3" t="s">
        <v>96</v>
      </c>
      <c r="K25" s="3" t="s">
        <v>96</v>
      </c>
      <c r="L25" s="3" t="s">
        <v>96</v>
      </c>
    </row>
    <row r="26" spans="1:12" x14ac:dyDescent="0.3">
      <c r="A26" s="10" t="s">
        <v>146</v>
      </c>
      <c r="B26" s="10">
        <f>$B$4</f>
        <v>8</v>
      </c>
      <c r="C26" s="11">
        <f>B26/$B$4</f>
        <v>1</v>
      </c>
    </row>
    <row r="27" spans="1:12" x14ac:dyDescent="0.3">
      <c r="A27" s="10" t="s">
        <v>161</v>
      </c>
      <c r="B27" s="10">
        <f>0</f>
        <v>0</v>
      </c>
      <c r="C27" s="11">
        <f>B27/$B$4</f>
        <v>0</v>
      </c>
    </row>
    <row r="28" spans="1:12" x14ac:dyDescent="0.3">
      <c r="A28" s="10" t="s">
        <v>162</v>
      </c>
      <c r="B28" s="10">
        <f>$B$4-B27</f>
        <v>8</v>
      </c>
      <c r="C28" s="11">
        <f>B28/$B$4</f>
        <v>1</v>
      </c>
    </row>
    <row r="29" spans="1:12" x14ac:dyDescent="0.3">
      <c r="A29" s="10" t="s">
        <v>147</v>
      </c>
      <c r="B29" s="14">
        <f>C27</f>
        <v>0</v>
      </c>
    </row>
    <row r="31" spans="1:12" ht="18" x14ac:dyDescent="0.35">
      <c r="A31" s="7" t="s">
        <v>163</v>
      </c>
      <c r="B31" s="3" t="s">
        <v>96</v>
      </c>
      <c r="C31" s="3" t="s">
        <v>96</v>
      </c>
      <c r="D31" s="3" t="s">
        <v>96</v>
      </c>
      <c r="E31" s="3" t="s">
        <v>96</v>
      </c>
      <c r="F31" s="3" t="s">
        <v>96</v>
      </c>
      <c r="G31" s="3" t="s">
        <v>96</v>
      </c>
      <c r="H31" s="3" t="s">
        <v>96</v>
      </c>
      <c r="I31" s="3" t="s">
        <v>96</v>
      </c>
      <c r="J31" s="3" t="s">
        <v>96</v>
      </c>
      <c r="K31" s="3" t="s">
        <v>96</v>
      </c>
      <c r="L31" s="3" t="s">
        <v>96</v>
      </c>
    </row>
    <row r="32" spans="1:12" x14ac:dyDescent="0.3">
      <c r="A32" s="9" t="s">
        <v>164</v>
      </c>
      <c r="B32" s="9" t="s">
        <v>151</v>
      </c>
      <c r="C32" s="9" t="s">
        <v>152</v>
      </c>
      <c r="E32" s="3" t="s">
        <v>96</v>
      </c>
      <c r="F32" s="3" t="s">
        <v>96</v>
      </c>
      <c r="G32" s="3" t="s">
        <v>96</v>
      </c>
      <c r="H32" s="3" t="s">
        <v>96</v>
      </c>
      <c r="I32" s="3" t="s">
        <v>96</v>
      </c>
      <c r="J32" s="3" t="s">
        <v>96</v>
      </c>
      <c r="K32" s="3" t="s">
        <v>96</v>
      </c>
      <c r="L32" s="3" t="s">
        <v>96</v>
      </c>
    </row>
    <row r="33" spans="1:12" x14ac:dyDescent="0.3">
      <c r="A33" s="10" t="s">
        <v>70</v>
      </c>
      <c r="B33" s="10">
        <f>COUNTIF(Tickets!D4:D11,"Email notification not working")</f>
        <v>2</v>
      </c>
      <c r="C33" s="11">
        <f>B33/$B$4</f>
        <v>0.25</v>
      </c>
    </row>
    <row r="34" spans="1:12" x14ac:dyDescent="0.3">
      <c r="A34" s="10" t="s">
        <v>73</v>
      </c>
      <c r="B34" s="10">
        <f>COUNTIF(Tickets!D4:D11,"Login authentication failure")</f>
        <v>2</v>
      </c>
      <c r="C34" s="11">
        <f>B34/$B$4</f>
        <v>0.25</v>
      </c>
    </row>
    <row r="35" spans="1:12" x14ac:dyDescent="0.3">
      <c r="A35" s="10" t="s">
        <v>75</v>
      </c>
      <c r="B35" s="10">
        <f>COUNTIF(Tickets!D4:D11,"API rate limiting issues")</f>
        <v>1</v>
      </c>
      <c r="C35" s="11">
        <f>B35/$B$4</f>
        <v>0.125</v>
      </c>
    </row>
    <row r="36" spans="1:12" x14ac:dyDescent="0.3">
      <c r="A36" s="10" t="s">
        <v>78</v>
      </c>
      <c r="B36" s="10">
        <f>COUNTIF(Tickets!D4:D11,"Database connection timeout")</f>
        <v>1</v>
      </c>
      <c r="C36" s="11">
        <f>B36/$B$4</f>
        <v>0.125</v>
      </c>
    </row>
    <row r="37" spans="1:12" x14ac:dyDescent="0.3">
      <c r="A37" s="10" t="s">
        <v>80</v>
      </c>
      <c r="B37" s="10">
        <f>COUNTIF(Tickets!D4:D11,"Memory leak in background service")</f>
        <v>1</v>
      </c>
      <c r="C37" s="11">
        <f>B37/$B$4</f>
        <v>0.125</v>
      </c>
    </row>
    <row r="38" spans="1:12" x14ac:dyDescent="0.3">
      <c r="A38" s="10" t="s">
        <v>82</v>
      </c>
      <c r="B38" s="10">
        <f>COUNTIF(Tickets!D4:D11,"UI responsiveness issues")</f>
        <v>1</v>
      </c>
      <c r="C38" s="11">
        <f>B38/$B$4</f>
        <v>0.125</v>
      </c>
    </row>
    <row r="40" spans="1:12" ht="18" x14ac:dyDescent="0.35">
      <c r="A40" s="7" t="s">
        <v>165</v>
      </c>
      <c r="B40" s="3" t="s">
        <v>96</v>
      </c>
      <c r="C40" s="3" t="s">
        <v>96</v>
      </c>
      <c r="D40" s="3" t="s">
        <v>96</v>
      </c>
      <c r="E40" s="3" t="s">
        <v>96</v>
      </c>
      <c r="F40" s="3" t="s">
        <v>96</v>
      </c>
      <c r="G40" s="3" t="s">
        <v>96</v>
      </c>
      <c r="H40" s="3" t="s">
        <v>96</v>
      </c>
      <c r="I40" s="3" t="s">
        <v>96</v>
      </c>
      <c r="J40" s="3" t="s">
        <v>96</v>
      </c>
      <c r="K40" s="3" t="s">
        <v>96</v>
      </c>
      <c r="L40" s="3" t="s">
        <v>96</v>
      </c>
    </row>
    <row r="41" spans="1:12" x14ac:dyDescent="0.3">
      <c r="A41" s="9" t="s">
        <v>85</v>
      </c>
      <c r="B41" s="9" t="s">
        <v>151</v>
      </c>
      <c r="C41" s="9" t="s">
        <v>152</v>
      </c>
      <c r="D41" s="3" t="s">
        <v>96</v>
      </c>
      <c r="E41" s="3" t="s">
        <v>96</v>
      </c>
      <c r="F41" s="3" t="s">
        <v>96</v>
      </c>
      <c r="G41" s="3" t="s">
        <v>96</v>
      </c>
      <c r="H41" s="3" t="s">
        <v>96</v>
      </c>
      <c r="I41" s="3" t="s">
        <v>96</v>
      </c>
      <c r="J41" s="3" t="s">
        <v>96</v>
      </c>
      <c r="K41" s="3" t="s">
        <v>96</v>
      </c>
      <c r="L41" s="3" t="s">
        <v>96</v>
      </c>
    </row>
    <row r="42" spans="1:12" x14ac:dyDescent="0.3">
      <c r="A42" s="10" t="s">
        <v>50</v>
      </c>
      <c r="B42" s="10">
        <f>COUNTIF(Tickets!B4:B11,"E-commerce Platform")</f>
        <v>2</v>
      </c>
      <c r="C42" s="11">
        <f>B42/$B$4</f>
        <v>0.25</v>
      </c>
    </row>
    <row r="43" spans="1:12" x14ac:dyDescent="0.3">
      <c r="A43" s="10" t="s">
        <v>54</v>
      </c>
      <c r="B43" s="10">
        <f>COUNTIF(Tickets!B4:B11,"Mobile App")</f>
        <v>2</v>
      </c>
      <c r="C43" s="11">
        <f>B43/$B$4</f>
        <v>0.25</v>
      </c>
    </row>
    <row r="44" spans="1:12" x14ac:dyDescent="0.3">
      <c r="A44" s="10" t="s">
        <v>57</v>
      </c>
      <c r="B44" s="10">
        <f>COUNTIF(Tickets!B4:B11,"Admin Dashboard")</f>
        <v>1</v>
      </c>
      <c r="C44" s="11">
        <f>B44/$B$4</f>
        <v>0.125</v>
      </c>
    </row>
    <row r="45" spans="1:12" x14ac:dyDescent="0.3">
      <c r="A45" s="10" t="s">
        <v>61</v>
      </c>
      <c r="B45" s="10">
        <f>COUNTIF(Tickets!B4:B11,"API Gateway")</f>
        <v>2</v>
      </c>
      <c r="C45" s="11">
        <f>B45/$B$4</f>
        <v>0.25</v>
      </c>
    </row>
    <row r="46" spans="1:12" x14ac:dyDescent="0.3">
      <c r="A46" s="10" t="s">
        <v>64</v>
      </c>
      <c r="B46" s="10">
        <f>COUNTIF(Tickets!B4:B11,"Customer Portal")</f>
        <v>1</v>
      </c>
      <c r="C46" s="11">
        <f>B46/$B$4</f>
        <v>0.125</v>
      </c>
    </row>
    <row r="48" spans="1:12" ht="18" x14ac:dyDescent="0.35">
      <c r="A48" s="7" t="s">
        <v>166</v>
      </c>
      <c r="B48" s="3" t="s">
        <v>96</v>
      </c>
      <c r="C48" s="3" t="s">
        <v>96</v>
      </c>
      <c r="D48" s="3" t="s">
        <v>96</v>
      </c>
      <c r="E48" s="3" t="s">
        <v>96</v>
      </c>
      <c r="F48" s="3" t="s">
        <v>96</v>
      </c>
      <c r="G48" s="3" t="s">
        <v>96</v>
      </c>
      <c r="H48" s="3" t="s">
        <v>96</v>
      </c>
      <c r="I48" s="3" t="s">
        <v>96</v>
      </c>
      <c r="J48" s="3" t="s">
        <v>96</v>
      </c>
      <c r="K48" s="3" t="s">
        <v>96</v>
      </c>
      <c r="L48" s="3" t="s">
        <v>96</v>
      </c>
    </row>
    <row r="49" spans="1:12" x14ac:dyDescent="0.3">
      <c r="A49" s="9" t="s">
        <v>49</v>
      </c>
      <c r="B49" s="9" t="s">
        <v>167</v>
      </c>
      <c r="C49" s="9" t="s">
        <v>152</v>
      </c>
      <c r="E49" s="3" t="s">
        <v>96</v>
      </c>
      <c r="F49" s="3" t="s">
        <v>96</v>
      </c>
      <c r="G49" s="3" t="s">
        <v>96</v>
      </c>
      <c r="H49" s="3" t="s">
        <v>96</v>
      </c>
      <c r="I49" s="3" t="s">
        <v>96</v>
      </c>
      <c r="J49" s="3" t="s">
        <v>96</v>
      </c>
      <c r="K49" s="3" t="s">
        <v>96</v>
      </c>
      <c r="L49" s="3" t="s">
        <v>96</v>
      </c>
    </row>
    <row r="50" spans="1:12" x14ac:dyDescent="0.3">
      <c r="A50" s="10" t="s">
        <v>111</v>
      </c>
      <c r="B50" s="10">
        <f>COUNTIF(Tickets!H4:H11,"Open")</f>
        <v>1</v>
      </c>
      <c r="C50" s="11">
        <f>B50/$B$4</f>
        <v>0.125</v>
      </c>
    </row>
    <row r="51" spans="1:12" x14ac:dyDescent="0.3">
      <c r="A51" s="10" t="s">
        <v>93</v>
      </c>
      <c r="B51" s="10">
        <f>COUNTIF(Tickets!H4:H11,"In Progress")</f>
        <v>4</v>
      </c>
      <c r="C51" s="11">
        <f>B51/$B$4</f>
        <v>0.5</v>
      </c>
    </row>
    <row r="52" spans="1:12" x14ac:dyDescent="0.3">
      <c r="A52" s="10" t="s">
        <v>98</v>
      </c>
      <c r="B52" s="10">
        <f>COUNTIF(Tickets!H4:H11,"Resolved")</f>
        <v>3</v>
      </c>
      <c r="C52" s="11">
        <f>B52/$B$4</f>
        <v>0.375</v>
      </c>
    </row>
    <row r="54" spans="1:12" ht="18" x14ac:dyDescent="0.35">
      <c r="A54" s="7" t="s">
        <v>168</v>
      </c>
      <c r="B54" s="3" t="s">
        <v>96</v>
      </c>
      <c r="C54" s="3" t="s">
        <v>96</v>
      </c>
      <c r="D54" s="3" t="s">
        <v>96</v>
      </c>
      <c r="E54" s="3" t="s">
        <v>96</v>
      </c>
      <c r="F54" s="3" t="s">
        <v>96</v>
      </c>
      <c r="G54" s="3" t="s">
        <v>96</v>
      </c>
      <c r="H54" s="3" t="s">
        <v>96</v>
      </c>
      <c r="I54" s="3" t="s">
        <v>96</v>
      </c>
      <c r="J54" s="3" t="s">
        <v>96</v>
      </c>
      <c r="K54" s="3" t="s">
        <v>96</v>
      </c>
      <c r="L54" s="3" t="s">
        <v>96</v>
      </c>
    </row>
    <row r="55" spans="1:12" x14ac:dyDescent="0.3">
      <c r="A55" s="9" t="s">
        <v>69</v>
      </c>
      <c r="B55" s="9" t="s">
        <v>167</v>
      </c>
      <c r="C55" s="9" t="s">
        <v>152</v>
      </c>
      <c r="D55" s="3" t="s">
        <v>96</v>
      </c>
      <c r="E55" s="3" t="s">
        <v>96</v>
      </c>
      <c r="F55" s="3" t="s">
        <v>96</v>
      </c>
      <c r="G55" s="3" t="s">
        <v>96</v>
      </c>
      <c r="H55" s="3" t="s">
        <v>96</v>
      </c>
      <c r="I55" s="3" t="s">
        <v>96</v>
      </c>
      <c r="J55" s="3" t="s">
        <v>96</v>
      </c>
      <c r="K55" s="3" t="s">
        <v>96</v>
      </c>
      <c r="L55" s="3" t="s">
        <v>96</v>
      </c>
    </row>
    <row r="56" spans="1:12" x14ac:dyDescent="0.3">
      <c r="A56" s="10" t="s">
        <v>72</v>
      </c>
      <c r="B56" s="10">
        <f>COUNTIF(Tickets!I4:I11,"High")</f>
        <v>5</v>
      </c>
      <c r="C56" s="11">
        <f>B56/$B$4</f>
        <v>0.625</v>
      </c>
    </row>
    <row r="57" spans="1:12" x14ac:dyDescent="0.3">
      <c r="A57" s="10" t="s">
        <v>77</v>
      </c>
      <c r="B57" s="10">
        <f>COUNTIF(Tickets!I4:I11,"Medium")</f>
        <v>3</v>
      </c>
      <c r="C57" s="11">
        <f>B57/$B$4</f>
        <v>0.375</v>
      </c>
    </row>
    <row r="58" spans="1:12" x14ac:dyDescent="0.3">
      <c r="A58" s="10" t="s">
        <v>169</v>
      </c>
      <c r="B58" s="10">
        <f>COUNTIF(Tickets!I4:I11,"Low")</f>
        <v>0</v>
      </c>
      <c r="C58" s="11">
        <f>B58/$B$4</f>
        <v>0</v>
      </c>
    </row>
    <row r="60" spans="1:12" ht="18" x14ac:dyDescent="0.35">
      <c r="A60" s="7" t="s">
        <v>170</v>
      </c>
      <c r="B60" s="3" t="s">
        <v>96</v>
      </c>
      <c r="C60" s="3" t="s">
        <v>96</v>
      </c>
      <c r="D60" s="3" t="s">
        <v>96</v>
      </c>
      <c r="E60" s="3" t="s">
        <v>96</v>
      </c>
      <c r="F60" s="3" t="s">
        <v>96</v>
      </c>
      <c r="G60" s="3" t="s">
        <v>96</v>
      </c>
      <c r="H60" s="3" t="s">
        <v>96</v>
      </c>
      <c r="I60" s="3" t="s">
        <v>96</v>
      </c>
      <c r="J60" s="3" t="s">
        <v>96</v>
      </c>
      <c r="K60" s="3" t="s">
        <v>96</v>
      </c>
      <c r="L60" s="3" t="s">
        <v>96</v>
      </c>
    </row>
    <row r="61" spans="1:12" x14ac:dyDescent="0.3">
      <c r="A61" s="9" t="s">
        <v>89</v>
      </c>
      <c r="B61" s="9" t="s">
        <v>171</v>
      </c>
      <c r="C61" s="9" t="s">
        <v>152</v>
      </c>
      <c r="D61" s="9" t="s">
        <v>172</v>
      </c>
      <c r="E61" s="3" t="s">
        <v>96</v>
      </c>
      <c r="F61" s="3" t="s">
        <v>96</v>
      </c>
      <c r="G61" s="3" t="s">
        <v>96</v>
      </c>
      <c r="H61" s="3" t="s">
        <v>96</v>
      </c>
      <c r="I61" s="3" t="s">
        <v>96</v>
      </c>
      <c r="J61" s="3" t="s">
        <v>96</v>
      </c>
      <c r="K61" s="3" t="s">
        <v>96</v>
      </c>
      <c r="L61" s="3" t="s">
        <v>96</v>
      </c>
    </row>
    <row r="62" spans="1:12" x14ac:dyDescent="0.3">
      <c r="A62" s="10" t="s">
        <v>17</v>
      </c>
      <c r="B62" s="10">
        <f>COUNTIF(Tickets!G4:G11,"Mike Johnson")</f>
        <v>3</v>
      </c>
      <c r="C62" s="11">
        <f>B62/$B$4</f>
        <v>0.375</v>
      </c>
      <c r="D62" s="12">
        <f>IFERROR(AVERAGE(IF((Tickets!G4:G11="Mike Johnson")*(Tickets!L4:L11&lt;&gt;""),(Tickets!L4:L11-Tickets!J4:J11)*24,0)),0)</f>
        <v>0</v>
      </c>
    </row>
    <row r="63" spans="1:12" x14ac:dyDescent="0.3">
      <c r="A63" s="10" t="s">
        <v>35</v>
      </c>
      <c r="B63" s="10">
        <f>COUNTIF(Tickets!G4:G11,"Chris Lee")</f>
        <v>2</v>
      </c>
      <c r="C63" s="11">
        <f>B63/$B$4</f>
        <v>0.25</v>
      </c>
      <c r="D63" s="12">
        <f>IFERROR(AVERAGE(IF((Tickets!G4:G11="Chris Lee")*(Tickets!L4:L11&lt;&gt;""),(Tickets!L4:L11-Tickets!J4:J11)*24,0)),0)</f>
        <v>0</v>
      </c>
    </row>
    <row r="64" spans="1:12" x14ac:dyDescent="0.3">
      <c r="A64" s="10" t="s">
        <v>26</v>
      </c>
      <c r="B64" s="10">
        <f>COUNTIF(Tickets!G4:G11,"Tom Brown")</f>
        <v>2</v>
      </c>
      <c r="C64" s="11">
        <f>B64/$B$4</f>
        <v>0.25</v>
      </c>
      <c r="D64" s="12">
        <f>IFERROR(AVERAGE(IF((Tickets!G4:G11="Tom Brown")*(Tickets!L4:L11&lt;&gt;""),(Tickets!L4:L11-Tickets!J4:J11)*24,0)),0)</f>
        <v>0</v>
      </c>
    </row>
    <row r="65" spans="1:12" x14ac:dyDescent="0.3">
      <c r="A65" s="10" t="s">
        <v>22</v>
      </c>
      <c r="B65" s="10">
        <f>COUNTIF(Tickets!G4:G11,"Sarah Wilson")</f>
        <v>1</v>
      </c>
      <c r="C65" s="11">
        <f>B65/$B$4</f>
        <v>0.125</v>
      </c>
      <c r="D65" s="12">
        <f>IFERROR(AVERAGE(IF((Tickets!G4:G11="Sarah Wilson")*(Tickets!L4:L11&lt;&gt;""),(Tickets!L4:L11-Tickets!J4:J11)*24,0)),0)</f>
        <v>0</v>
      </c>
    </row>
    <row r="67" spans="1:12" ht="18" x14ac:dyDescent="0.35">
      <c r="A67" s="7" t="s">
        <v>173</v>
      </c>
      <c r="B67" s="3" t="s">
        <v>96</v>
      </c>
      <c r="C67" s="3" t="s">
        <v>96</v>
      </c>
      <c r="D67" s="3" t="s">
        <v>96</v>
      </c>
      <c r="E67" s="3" t="s">
        <v>96</v>
      </c>
      <c r="F67" s="3" t="s">
        <v>96</v>
      </c>
      <c r="G67" s="3" t="s">
        <v>96</v>
      </c>
      <c r="H67" s="3" t="s">
        <v>96</v>
      </c>
      <c r="I67" s="3" t="s">
        <v>96</v>
      </c>
      <c r="J67" s="3" t="s">
        <v>96</v>
      </c>
      <c r="K67" s="3" t="s">
        <v>96</v>
      </c>
      <c r="L67" s="3" t="s">
        <v>96</v>
      </c>
    </row>
    <row r="68" spans="1:12" x14ac:dyDescent="0.3">
      <c r="A68" s="9" t="s">
        <v>174</v>
      </c>
      <c r="B68" s="9" t="s">
        <v>175</v>
      </c>
      <c r="C68" s="9" t="s">
        <v>176</v>
      </c>
      <c r="D68" s="9" t="s">
        <v>177</v>
      </c>
      <c r="F68" s="3" t="s">
        <v>96</v>
      </c>
      <c r="G68" s="3" t="s">
        <v>96</v>
      </c>
      <c r="H68" s="3" t="s">
        <v>96</v>
      </c>
      <c r="I68" s="3" t="s">
        <v>96</v>
      </c>
      <c r="J68" s="3" t="s">
        <v>96</v>
      </c>
      <c r="K68" s="3" t="s">
        <v>96</v>
      </c>
      <c r="L68" s="3" t="s">
        <v>96</v>
      </c>
    </row>
    <row r="69" spans="1:12" x14ac:dyDescent="0.3">
      <c r="A69" s="10" t="s">
        <v>178</v>
      </c>
      <c r="B69" s="10">
        <f>COUNT(Tickets!A4:A11)</f>
        <v>8</v>
      </c>
      <c r="C69" s="10">
        <f>COUNTIF(Tickets!H4:H11,"Resolved")</f>
        <v>3</v>
      </c>
      <c r="D69" s="11">
        <f>IF(B69&gt;0,C69/B69,0)</f>
        <v>0.375</v>
      </c>
    </row>
    <row r="70" spans="1:12" x14ac:dyDescent="0.3">
      <c r="A70" s="10" t="s">
        <v>179</v>
      </c>
      <c r="B70" s="10">
        <f>0</f>
        <v>0</v>
      </c>
      <c r="C70" s="10">
        <f>0</f>
        <v>0</v>
      </c>
      <c r="D70" s="11">
        <f>IF(B70&gt;0,C70/B70,0)</f>
        <v>0</v>
      </c>
    </row>
    <row r="71" spans="1:12" x14ac:dyDescent="0.3">
      <c r="A71" s="10" t="s">
        <v>180</v>
      </c>
      <c r="B71" s="10">
        <f>0</f>
        <v>0</v>
      </c>
      <c r="C71" s="10">
        <f>0</f>
        <v>0</v>
      </c>
      <c r="D71" s="11">
        <f>IF(B71&gt;0,C71/B71,0)</f>
        <v>0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81D3-177F-4BA6-8055-5515100A35DF}">
  <dimension ref="H1:Y5"/>
  <sheetViews>
    <sheetView tabSelected="1" zoomScale="72" zoomScaleNormal="55" workbookViewId="0">
      <selection activeCell="AC26" sqref="AC26"/>
    </sheetView>
  </sheetViews>
  <sheetFormatPr defaultRowHeight="14.4" x14ac:dyDescent="0.3"/>
  <cols>
    <col min="1" max="16384" width="8.88671875" style="15"/>
  </cols>
  <sheetData>
    <row r="1" spans="8:25" ht="25.8" x14ac:dyDescent="0.5">
      <c r="H1" s="17" t="s">
        <v>182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5" spans="8:25" x14ac:dyDescent="0.3">
      <c r="H5" s="16"/>
      <c r="I5" s="16"/>
      <c r="J5" s="16"/>
      <c r="K5" s="16"/>
    </row>
  </sheetData>
  <mergeCells count="2">
    <mergeCell ref="H5:K5"/>
    <mergeCell ref="H1:Y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A180-E978-4D06-B4B0-389B2AD3ECC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Users</vt:lpstr>
      <vt:lpstr>Departments</vt:lpstr>
      <vt:lpstr>Projects</vt:lpstr>
      <vt:lpstr>Issues</vt:lpstr>
      <vt:lpstr>Tickets</vt:lpstr>
      <vt:lpstr>Ticket History</vt:lpstr>
      <vt:lpstr>DATAFORDASHBOARD</vt:lpstr>
      <vt:lpstr>DASHBOARD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2026-04-05T04:20:31Z</dcterms:created>
  <dcterms:modified xsi:type="dcterms:W3CDTF">2026-04-05T07:09:43Z</dcterms:modified>
  <cp:category/>
</cp:coreProperties>
</file>